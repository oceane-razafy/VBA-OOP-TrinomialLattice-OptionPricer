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6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3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Dauphine\Semestre 3\VBA\"/>
    </mc:Choice>
  </mc:AlternateContent>
  <xr:revisionPtr revIDLastSave="0" documentId="8_{D38F893E-D403-4DB3-8CC0-938D831A70EA}" xr6:coauthVersionLast="47" xr6:coauthVersionMax="47" xr10:uidLastSave="{00000000-0000-0000-0000-000000000000}"/>
  <bookViews>
    <workbookView xWindow="-120" yWindow="-120" windowWidth="20730" windowHeight="11160" tabRatio="857" firstSheet="2" activeTab="2" xr2:uid="{00000000-000D-0000-FFFF-FFFF00000000}"/>
  </bookViews>
  <sheets>
    <sheet name="Pricer" sheetId="8" r:id="rId1"/>
    <sheet name="Graph_Under" sheetId="10" r:id="rId2"/>
    <sheet name="Graph_Option" sheetId="12" r:id="rId3"/>
    <sheet name="Tree vs BS (1)" sheetId="15" r:id="rId4"/>
    <sheet name="Tree vs BS (2)" sheetId="16" r:id="rId5"/>
    <sheet name="EU vs AM" sheetId="17" r:id="rId6"/>
    <sheet name="IR = 0 - Call vs Put" sheetId="18" r:id="rId7"/>
    <sheet name="Maturity" sheetId="21" r:id="rId8"/>
    <sheet name="Volatility" sheetId="20" r:id="rId9"/>
  </sheets>
  <definedNames>
    <definedName name="BS_price">Pricer!$D$17</definedName>
    <definedName name="DF">Pricer!$D$7</definedName>
    <definedName name="DisplayOrNot">Pricer!$J$6</definedName>
    <definedName name="Div_date">Pricer!$D$9</definedName>
    <definedName name="Dividend">Pricer!$D$5</definedName>
    <definedName name="execution_time">Pricer!$J$17</definedName>
    <definedName name="execution_time2">'Tree vs BS (1)'!$B$10</definedName>
    <definedName name="InterestRate">Pricer!$D$3</definedName>
    <definedName name="IsAmerican">Pricer!$D$13</definedName>
    <definedName name="IsCall">Pricer!$D$14</definedName>
    <definedName name="Maturity">Pricer!$D$11</definedName>
    <definedName name="NbSteps">Pricer!$D$15</definedName>
    <definedName name="place_graph_opt">Graph_Option!$3:$1048576</definedName>
    <definedName name="place_graph_und">Graph_Under!$3:$1048576</definedName>
    <definedName name="range_bsprice1">'Tree vs BS (1)'!$C$13:$C$512</definedName>
    <definedName name="range_bsprice2">'Tree vs BS (2)'!$C$10:$C$31</definedName>
    <definedName name="range_gap1">'Tree vs BS (1)'!$E$13:$E$512</definedName>
    <definedName name="range_nbsteps1">'Tree vs BS (1)'!$A$13:$A$512</definedName>
    <definedName name="range_strike2">'Tree vs BS (2)'!$A$10:$A$31</definedName>
    <definedName name="range_treeprice1">'Tree vs BS (1)'!$B$13:$B$512</definedName>
    <definedName name="range_treeprice2">'Tree vs BS (2)'!$B$10:$B$31</definedName>
    <definedName name="Start_date">Pricer!$D$8</definedName>
    <definedName name="Start_Price">Pricer!$D$6</definedName>
    <definedName name="starting_point_option">Graph_Option!$A$3</definedName>
    <definedName name="starting_point_under">Graph_Under!$A$3</definedName>
    <definedName name="StartPrice">Pricer!$D$6</definedName>
    <definedName name="Strike">Pricer!$D$10</definedName>
    <definedName name="Time">Pricer!$D$12</definedName>
    <definedName name="Tree_price">Pricer!$D$21</definedName>
    <definedName name="Volatility">Pricer!$D$4</definedName>
  </definedNames>
  <calcPr calcId="191028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12" i="15" l="1"/>
  <c r="D13" i="15"/>
  <c r="D113" i="15"/>
  <c r="D114" i="15"/>
  <c r="D115" i="15"/>
  <c r="D116" i="15"/>
  <c r="D117" i="15"/>
  <c r="D118" i="15"/>
  <c r="D119" i="15"/>
  <c r="D120" i="15"/>
  <c r="D121" i="15"/>
  <c r="D122" i="15"/>
  <c r="D123" i="15"/>
  <c r="D124" i="15"/>
  <c r="D125" i="15"/>
  <c r="D126" i="15"/>
  <c r="D127" i="15"/>
  <c r="D128" i="15"/>
  <c r="D129" i="15"/>
  <c r="D130" i="15"/>
  <c r="D131" i="15"/>
  <c r="D132" i="15"/>
  <c r="D133" i="15"/>
  <c r="D134" i="15"/>
  <c r="D135" i="15"/>
  <c r="D136" i="15"/>
  <c r="D137" i="15"/>
  <c r="D138" i="15"/>
  <c r="D139" i="15"/>
  <c r="D140" i="15"/>
  <c r="D141" i="15"/>
  <c r="D142" i="15"/>
  <c r="D143" i="15"/>
  <c r="D144" i="15"/>
  <c r="D145" i="15"/>
  <c r="D146" i="15"/>
  <c r="D147" i="15"/>
  <c r="D148" i="15"/>
  <c r="D149" i="15"/>
  <c r="D150" i="15"/>
  <c r="D151" i="15"/>
  <c r="D152" i="15"/>
  <c r="D153" i="15"/>
  <c r="D154" i="15"/>
  <c r="D155" i="15"/>
  <c r="D156" i="15"/>
  <c r="D157" i="15"/>
  <c r="D158" i="15"/>
  <c r="D159" i="15"/>
  <c r="D160" i="15"/>
  <c r="D161" i="15"/>
  <c r="D162" i="15"/>
  <c r="D163" i="15"/>
  <c r="D164" i="15"/>
  <c r="D165" i="15"/>
  <c r="D166" i="15"/>
  <c r="D167" i="15"/>
  <c r="D168" i="15"/>
  <c r="D169" i="15"/>
  <c r="D170" i="15"/>
  <c r="D171" i="15"/>
  <c r="D172" i="15"/>
  <c r="D173" i="15"/>
  <c r="D174" i="15"/>
  <c r="D175" i="15"/>
  <c r="D176" i="15"/>
  <c r="D177" i="15"/>
  <c r="D178" i="15"/>
  <c r="D179" i="15"/>
  <c r="D180" i="15"/>
  <c r="D181" i="15"/>
  <c r="D182" i="15"/>
  <c r="D183" i="15"/>
  <c r="D184" i="15"/>
  <c r="D185" i="15"/>
  <c r="D186" i="15"/>
  <c r="D187" i="15"/>
  <c r="D188" i="15"/>
  <c r="D189" i="15"/>
  <c r="D190" i="15"/>
  <c r="D191" i="15"/>
  <c r="D192" i="15"/>
  <c r="D193" i="15"/>
  <c r="D194" i="15"/>
  <c r="D195" i="15"/>
  <c r="D196" i="15"/>
  <c r="D197" i="15"/>
  <c r="D198" i="15"/>
  <c r="D199" i="15"/>
  <c r="D200" i="15"/>
  <c r="D201" i="15"/>
  <c r="D202" i="15"/>
  <c r="D203" i="15"/>
  <c r="D204" i="15"/>
  <c r="D205" i="15"/>
  <c r="D206" i="15"/>
  <c r="D207" i="15"/>
  <c r="D208" i="15"/>
  <c r="D209" i="15"/>
  <c r="D210" i="15"/>
  <c r="D211" i="15"/>
  <c r="D212" i="15"/>
  <c r="D213" i="15"/>
  <c r="D214" i="15"/>
  <c r="D215" i="15"/>
  <c r="D216" i="15"/>
  <c r="D217" i="15"/>
  <c r="D218" i="15"/>
  <c r="D219" i="15"/>
  <c r="D220" i="15"/>
  <c r="D221" i="15"/>
  <c r="D222" i="15"/>
  <c r="D223" i="15"/>
  <c r="D224" i="15"/>
  <c r="D225" i="15"/>
  <c r="D226" i="15"/>
  <c r="D227" i="15"/>
  <c r="D228" i="15"/>
  <c r="D229" i="15"/>
  <c r="D230" i="15"/>
  <c r="D231" i="15"/>
  <c r="D232" i="15"/>
  <c r="D233" i="15"/>
  <c r="D234" i="15"/>
  <c r="D235" i="15"/>
  <c r="D236" i="15"/>
  <c r="D237" i="15"/>
  <c r="D238" i="15"/>
  <c r="D239" i="15"/>
  <c r="D240" i="15"/>
  <c r="D241" i="15"/>
  <c r="D242" i="15"/>
  <c r="D243" i="15"/>
  <c r="D244" i="15"/>
  <c r="D245" i="15"/>
  <c r="D246" i="15"/>
  <c r="D247" i="15"/>
  <c r="D248" i="15"/>
  <c r="D249" i="15"/>
  <c r="D250" i="15"/>
  <c r="D251" i="15"/>
  <c r="D252" i="15"/>
  <c r="D253" i="15"/>
  <c r="D254" i="15"/>
  <c r="D255" i="15"/>
  <c r="D256" i="15"/>
  <c r="D257" i="15"/>
  <c r="D258" i="15"/>
  <c r="D259" i="15"/>
  <c r="D260" i="15"/>
  <c r="D261" i="15"/>
  <c r="D262" i="15"/>
  <c r="D263" i="15"/>
  <c r="D264" i="15"/>
  <c r="D265" i="15"/>
  <c r="D266" i="15"/>
  <c r="D267" i="15"/>
  <c r="D268" i="15"/>
  <c r="D269" i="15"/>
  <c r="D270" i="15"/>
  <c r="D271" i="15"/>
  <c r="D272" i="15"/>
  <c r="D273" i="15"/>
  <c r="D274" i="15"/>
  <c r="D275" i="15"/>
  <c r="D276" i="15"/>
  <c r="D277" i="15"/>
  <c r="D278" i="15"/>
  <c r="D279" i="15"/>
  <c r="D280" i="15"/>
  <c r="D281" i="15"/>
  <c r="D282" i="15"/>
  <c r="D283" i="15"/>
  <c r="D284" i="15"/>
  <c r="D285" i="15"/>
  <c r="D286" i="15"/>
  <c r="D287" i="15"/>
  <c r="D288" i="15"/>
  <c r="D289" i="15"/>
  <c r="D290" i="15"/>
  <c r="D291" i="15"/>
  <c r="D292" i="15"/>
  <c r="D293" i="15"/>
  <c r="D294" i="15"/>
  <c r="D295" i="15"/>
  <c r="D296" i="15"/>
  <c r="D297" i="15"/>
  <c r="D298" i="15"/>
  <c r="D299" i="15"/>
  <c r="D300" i="15"/>
  <c r="D301" i="15"/>
  <c r="D302" i="15"/>
  <c r="D303" i="15"/>
  <c r="D304" i="15"/>
  <c r="D305" i="15"/>
  <c r="D306" i="15"/>
  <c r="D307" i="15"/>
  <c r="D308" i="15"/>
  <c r="D309" i="15"/>
  <c r="D310" i="15"/>
  <c r="D311" i="15"/>
  <c r="D312" i="15"/>
  <c r="D313" i="15"/>
  <c r="D314" i="15"/>
  <c r="D315" i="15"/>
  <c r="D316" i="15"/>
  <c r="D317" i="15"/>
  <c r="D318" i="15"/>
  <c r="D319" i="15"/>
  <c r="D320" i="15"/>
  <c r="D321" i="15"/>
  <c r="D322" i="15"/>
  <c r="D323" i="15"/>
  <c r="D324" i="15"/>
  <c r="D325" i="15"/>
  <c r="D326" i="15"/>
  <c r="D327" i="15"/>
  <c r="D328" i="15"/>
  <c r="D329" i="15"/>
  <c r="D330" i="15"/>
  <c r="D331" i="15"/>
  <c r="D332" i="15"/>
  <c r="D333" i="15"/>
  <c r="D334" i="15"/>
  <c r="D335" i="15"/>
  <c r="D336" i="15"/>
  <c r="D337" i="15"/>
  <c r="D338" i="15"/>
  <c r="D339" i="15"/>
  <c r="D340" i="15"/>
  <c r="D341" i="15"/>
  <c r="D342" i="15"/>
  <c r="D343" i="15"/>
  <c r="D344" i="15"/>
  <c r="D345" i="15"/>
  <c r="D346" i="15"/>
  <c r="D347" i="15"/>
  <c r="D348" i="15"/>
  <c r="D349" i="15"/>
  <c r="D350" i="15"/>
  <c r="D351" i="15"/>
  <c r="D352" i="15"/>
  <c r="D353" i="15"/>
  <c r="D354" i="15"/>
  <c r="D355" i="15"/>
  <c r="D356" i="15"/>
  <c r="D357" i="15"/>
  <c r="D358" i="15"/>
  <c r="D359" i="15"/>
  <c r="D360" i="15"/>
  <c r="D361" i="15"/>
  <c r="D362" i="15"/>
  <c r="D363" i="15"/>
  <c r="D364" i="15"/>
  <c r="D365" i="15"/>
  <c r="D366" i="15"/>
  <c r="D367" i="15"/>
  <c r="D368" i="15"/>
  <c r="D369" i="15"/>
  <c r="D370" i="15"/>
  <c r="D371" i="15"/>
  <c r="D372" i="15"/>
  <c r="D373" i="15"/>
  <c r="D374" i="15"/>
  <c r="D375" i="15"/>
  <c r="D376" i="15"/>
  <c r="D377" i="15"/>
  <c r="D378" i="15"/>
  <c r="D379" i="15"/>
  <c r="D380" i="15"/>
  <c r="D381" i="15"/>
  <c r="D382" i="15"/>
  <c r="D383" i="15"/>
  <c r="D384" i="15"/>
  <c r="D385" i="15"/>
  <c r="D386" i="15"/>
  <c r="D387" i="15"/>
  <c r="D388" i="15"/>
  <c r="D389" i="15"/>
  <c r="D390" i="15"/>
  <c r="D391" i="15"/>
  <c r="D392" i="15"/>
  <c r="D393" i="15"/>
  <c r="D394" i="15"/>
  <c r="D395" i="15"/>
  <c r="D396" i="15"/>
  <c r="D397" i="15"/>
  <c r="D398" i="15"/>
  <c r="D399" i="15"/>
  <c r="D400" i="15"/>
  <c r="D401" i="15"/>
  <c r="D402" i="15"/>
  <c r="D403" i="15"/>
  <c r="D404" i="15"/>
  <c r="D405" i="15"/>
  <c r="D406" i="15"/>
  <c r="D407" i="15"/>
  <c r="D408" i="15"/>
  <c r="D409" i="15"/>
  <c r="D410" i="15"/>
  <c r="D411" i="15"/>
  <c r="D412" i="15"/>
  <c r="D413" i="15"/>
  <c r="D414" i="15"/>
  <c r="D415" i="15"/>
  <c r="D416" i="15"/>
  <c r="D417" i="15"/>
  <c r="D418" i="15"/>
  <c r="D419" i="15"/>
  <c r="D420" i="15"/>
  <c r="D421" i="15"/>
  <c r="D422" i="15"/>
  <c r="D423" i="15"/>
  <c r="D424" i="15"/>
  <c r="D425" i="15"/>
  <c r="D426" i="15"/>
  <c r="D427" i="15"/>
  <c r="D428" i="15"/>
  <c r="D429" i="15"/>
  <c r="D430" i="15"/>
  <c r="D431" i="15"/>
  <c r="D432" i="15"/>
  <c r="D433" i="15"/>
  <c r="D434" i="15"/>
  <c r="D435" i="15"/>
  <c r="D436" i="15"/>
  <c r="D437" i="15"/>
  <c r="D438" i="15"/>
  <c r="D439" i="15"/>
  <c r="D440" i="15"/>
  <c r="D441" i="15"/>
  <c r="D442" i="15"/>
  <c r="D443" i="15"/>
  <c r="D444" i="15"/>
  <c r="D445" i="15"/>
  <c r="D446" i="15"/>
  <c r="D447" i="15"/>
  <c r="D448" i="15"/>
  <c r="D449" i="15"/>
  <c r="D450" i="15"/>
  <c r="D451" i="15"/>
  <c r="D452" i="15"/>
  <c r="D453" i="15"/>
  <c r="D454" i="15"/>
  <c r="D455" i="15"/>
  <c r="D456" i="15"/>
  <c r="D457" i="15"/>
  <c r="D458" i="15"/>
  <c r="D459" i="15"/>
  <c r="D460" i="15"/>
  <c r="D461" i="15"/>
  <c r="D462" i="15"/>
  <c r="D463" i="15"/>
  <c r="D464" i="15"/>
  <c r="D465" i="15"/>
  <c r="D466" i="15"/>
  <c r="D467" i="15"/>
  <c r="D468" i="15"/>
  <c r="D469" i="15"/>
  <c r="D470" i="15"/>
  <c r="D471" i="15"/>
  <c r="D472" i="15"/>
  <c r="D473" i="15"/>
  <c r="D474" i="15"/>
  <c r="D475" i="15"/>
  <c r="D476" i="15"/>
  <c r="D477" i="15"/>
  <c r="D478" i="15"/>
  <c r="D479" i="15"/>
  <c r="D480" i="15"/>
  <c r="D481" i="15"/>
  <c r="D482" i="15"/>
  <c r="D483" i="15"/>
  <c r="D484" i="15"/>
  <c r="D485" i="15"/>
  <c r="D486" i="15"/>
  <c r="D487" i="15"/>
  <c r="D488" i="15"/>
  <c r="D489" i="15"/>
  <c r="D490" i="15"/>
  <c r="D491" i="15"/>
  <c r="D492" i="15"/>
  <c r="D493" i="15"/>
  <c r="D494" i="15"/>
  <c r="D495" i="15"/>
  <c r="D496" i="15"/>
  <c r="D497" i="15"/>
  <c r="D498" i="15"/>
  <c r="D499" i="15"/>
  <c r="D500" i="15"/>
  <c r="D501" i="15"/>
  <c r="D502" i="15"/>
  <c r="D503" i="15"/>
  <c r="D504" i="15"/>
  <c r="D505" i="15"/>
  <c r="D506" i="15"/>
  <c r="D507" i="15"/>
  <c r="D508" i="15"/>
  <c r="D509" i="15"/>
  <c r="D510" i="15"/>
  <c r="D511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D66" i="15"/>
  <c r="D67" i="15"/>
  <c r="D68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D81" i="15"/>
  <c r="D82" i="15"/>
  <c r="D83" i="15"/>
  <c r="D84" i="15"/>
  <c r="D85" i="15"/>
  <c r="D86" i="15"/>
  <c r="D87" i="15"/>
  <c r="D88" i="15"/>
  <c r="D89" i="15"/>
  <c r="D90" i="15"/>
  <c r="D91" i="15"/>
  <c r="D92" i="15"/>
  <c r="D93" i="15"/>
  <c r="D94" i="15"/>
  <c r="D95" i="15"/>
  <c r="D96" i="15"/>
  <c r="D97" i="15"/>
  <c r="D98" i="15"/>
  <c r="D99" i="15"/>
  <c r="D100" i="15"/>
  <c r="D101" i="15"/>
  <c r="D102" i="15"/>
  <c r="D103" i="15"/>
  <c r="D104" i="15"/>
  <c r="D105" i="15"/>
  <c r="D106" i="15"/>
  <c r="D107" i="15"/>
  <c r="D108" i="15"/>
  <c r="D109" i="15"/>
  <c r="D110" i="15"/>
  <c r="D111" i="15"/>
  <c r="D112" i="15"/>
  <c r="A2" i="8"/>
  <c r="D12" i="8"/>
  <c r="F3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11" i="16"/>
  <c r="E3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11" i="16"/>
  <c r="D10" i="16"/>
  <c r="D7" i="8"/>
</calcChain>
</file>

<file path=xl/sharedStrings.xml><?xml version="1.0" encoding="utf-8"?>
<sst xmlns="http://schemas.openxmlformats.org/spreadsheetml/2006/main" count="202" uniqueCount="109">
  <si>
    <t>Option Pricer</t>
  </si>
  <si>
    <t>Market</t>
  </si>
  <si>
    <t>Interest Rate</t>
  </si>
  <si>
    <t>PRICER</t>
  </si>
  <si>
    <t>Volatility</t>
  </si>
  <si>
    <t>Dividend</t>
  </si>
  <si>
    <t>Start Price</t>
  </si>
  <si>
    <t xml:space="preserve">Do you want to display the trees ? </t>
  </si>
  <si>
    <t>Yes</t>
  </si>
  <si>
    <t>Discount Factor</t>
  </si>
  <si>
    <t>No</t>
  </si>
  <si>
    <t>Start Date</t>
  </si>
  <si>
    <t>Dividend Ex-Date</t>
  </si>
  <si>
    <t>Trade</t>
  </si>
  <si>
    <t>Strike</t>
  </si>
  <si>
    <t>Maturity</t>
  </si>
  <si>
    <t>Time (Years)</t>
  </si>
  <si>
    <t>IsAmerican</t>
  </si>
  <si>
    <t xml:space="preserve">True </t>
  </si>
  <si>
    <t>IsCall</t>
  </si>
  <si>
    <t>False</t>
  </si>
  <si>
    <t>Model</t>
  </si>
  <si>
    <t>Nb Steps</t>
  </si>
  <si>
    <t>Price</t>
  </si>
  <si>
    <t>Black &amp; Scholes Price</t>
  </si>
  <si>
    <t>Dividend &lt;&gt; 0</t>
  </si>
  <si>
    <t>MACRO EXECUTION TIME 
(seconds)</t>
  </si>
  <si>
    <t>Tree Price</t>
  </si>
  <si>
    <t>Underlying Value</t>
  </si>
  <si>
    <t>Option Price</t>
  </si>
  <si>
    <t>TREE VS BS (1)</t>
  </si>
  <si>
    <t>MACRO EXECUTION TIME
(seconds)</t>
  </si>
  <si>
    <t>BS Price</t>
  </si>
  <si>
    <t xml:space="preserve">Gap * Number of Steps
</t>
  </si>
  <si>
    <t>Gap Formula</t>
  </si>
  <si>
    <t>TREE VS BS (2)</t>
  </si>
  <si>
    <t>Tree - BS</t>
  </si>
  <si>
    <t>Slope BS</t>
  </si>
  <si>
    <t>Slope Tree</t>
  </si>
  <si>
    <t>European option VS American option</t>
  </si>
  <si>
    <t>Nb Steps = 10</t>
  </si>
  <si>
    <t>Positive Interest Rate</t>
  </si>
  <si>
    <t>Negative Interest Rate</t>
  </si>
  <si>
    <t>With Dividend</t>
  </si>
  <si>
    <t>Without Dividend</t>
  </si>
  <si>
    <t xml:space="preserve">AM </t>
  </si>
  <si>
    <t>EU</t>
  </si>
  <si>
    <t>AM</t>
  </si>
  <si>
    <t>(a) 14,355</t>
  </si>
  <si>
    <t>(d) 14,059</t>
  </si>
  <si>
    <t>(g) 12,518</t>
  </si>
  <si>
    <t>(j) 11,822</t>
  </si>
  <si>
    <t>(m) 14,798</t>
  </si>
  <si>
    <t>(p) 14,798</t>
  </si>
  <si>
    <t>(b) 8,496</t>
  </si>
  <si>
    <t>(e) 8,351</t>
  </si>
  <si>
    <t>(h) 7,018</t>
  </si>
  <si>
    <t>(k) 6,700</t>
  </si>
  <si>
    <t>(n) 8,910</t>
  </si>
  <si>
    <t>(q) 8,910</t>
  </si>
  <si>
    <t>(c) 4,687</t>
  </si>
  <si>
    <t>(f) 4,631</t>
  </si>
  <si>
    <t>(i) 3,587</t>
  </si>
  <si>
    <t>(l) 3,444</t>
  </si>
  <si>
    <t>(o) 4,994</t>
  </si>
  <si>
    <t>(r) 4,994</t>
  </si>
  <si>
    <t>Impact of Interest Rate : Call vs Put</t>
  </si>
  <si>
    <t>EUROPEAN</t>
  </si>
  <si>
    <t>AMERICAN</t>
  </si>
  <si>
    <t>Interest Rate = 2%</t>
  </si>
  <si>
    <t>Interest rate = 0</t>
  </si>
  <si>
    <t>Call</t>
  </si>
  <si>
    <t>Put</t>
  </si>
  <si>
    <t>(1) 
14,059</t>
  </si>
  <si>
    <t>(4) 
3,259</t>
  </si>
  <si>
    <t>(7) 
12,857</t>
  </si>
  <si>
    <t>(10) 
3,857</t>
  </si>
  <si>
    <t>(13) 
14,355</t>
  </si>
  <si>
    <t>(16) 
3,278</t>
  </si>
  <si>
    <t>(19) 
13,302</t>
  </si>
  <si>
    <t>(22) 
3,857</t>
  </si>
  <si>
    <t>(2) 
8,351</t>
  </si>
  <si>
    <t>(5) 
7,353</t>
  </si>
  <si>
    <t>(8) 
7,431</t>
  </si>
  <si>
    <t>(11) 
8,431</t>
  </si>
  <si>
    <t>(14) 
8,496</t>
  </si>
  <si>
    <t>(17) 
7,403</t>
  </si>
  <si>
    <t>(20)
7,657</t>
  </si>
  <si>
    <t>(23) 
8,431</t>
  </si>
  <si>
    <t>(3) 
4,631</t>
  </si>
  <si>
    <t>(6) 
13,435</t>
  </si>
  <si>
    <t>(9) 
3,866</t>
  </si>
  <si>
    <t>(12) 
14,866</t>
  </si>
  <si>
    <t>(15) 
4,687</t>
  </si>
  <si>
    <t>(18) 
13,54</t>
  </si>
  <si>
    <t>(21)
3,984</t>
  </si>
  <si>
    <t>(24) 
14,866</t>
  </si>
  <si>
    <t>Impact of Maturity</t>
  </si>
  <si>
    <t>nbSteps = 50</t>
  </si>
  <si>
    <t>Dividend = 0</t>
  </si>
  <si>
    <t>Maturity = 1 year</t>
  </si>
  <si>
    <t>Maturity = 6 months</t>
  </si>
  <si>
    <t>STRIKE</t>
  </si>
  <si>
    <t>Dividend = 25 (large enough to affect the American Call price significantly)</t>
  </si>
  <si>
    <t>Impact of Volatility</t>
  </si>
  <si>
    <t>Vol = 0,1</t>
  </si>
  <si>
    <t>Vol = 0,2</t>
  </si>
  <si>
    <t>Vol = 0,4</t>
  </si>
  <si>
    <t>Vol = 0,8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</si>
</sst>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0.000000"/>
  </numFmts>
  <fonts count="2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theme="9"/>
      <name val="Calibri"/>
      <family val="2"/>
      <scheme val="minor"/>
    </font>
    <font>
      <b/>
      <u/>
      <sz val="12"/>
      <color theme="5"/>
      <name val="Calibri"/>
      <family val="2"/>
      <scheme val="minor"/>
    </font>
    <font>
      <b/>
      <u/>
      <sz val="12"/>
      <color theme="9" tint="-0.249977111117893"/>
      <name val="Calibri"/>
      <family val="2"/>
      <scheme val="minor"/>
    </font>
    <font>
      <b/>
      <u/>
      <sz val="12"/>
      <color rgb="FF002060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0070C0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-0.249977111117893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/>
      <top/>
      <bottom style="hair">
        <color auto="1"/>
      </bottom>
      <diagonal/>
    </border>
    <border>
      <left/>
      <right style="dashed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 style="hair">
        <color auto="1"/>
      </bottom>
      <diagonal/>
    </border>
    <border>
      <left style="thick">
        <color indexed="64"/>
      </left>
      <right/>
      <top style="dotted">
        <color indexed="64"/>
      </top>
      <bottom style="dotted">
        <color indexed="64"/>
      </bottom>
      <diagonal/>
    </border>
    <border>
      <left style="thick">
        <color indexed="64"/>
      </left>
      <right/>
      <top style="dotted">
        <color indexed="64"/>
      </top>
      <bottom style="thick">
        <color indexed="64"/>
      </bottom>
      <diagonal/>
    </border>
    <border>
      <left style="thick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ck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dotted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thick">
        <color indexed="64"/>
      </right>
      <top/>
      <bottom style="dotted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164" fontId="25" fillId="0" borderId="0" applyFont="0" applyFill="0" applyBorder="0" applyAlignment="0" applyProtection="0"/>
  </cellStyleXfs>
  <cellXfs count="169">
    <xf numFmtId="0" fontId="0" fillId="0" borderId="0" xfId="0"/>
    <xf numFmtId="0" fontId="0" fillId="6" borderId="0" xfId="0" applyFill="1"/>
    <xf numFmtId="0" fontId="0" fillId="4" borderId="0" xfId="0" applyFill="1"/>
    <xf numFmtId="0" fontId="4" fillId="0" borderId="0" xfId="0" applyFont="1"/>
    <xf numFmtId="0" fontId="6" fillId="3" borderId="13" xfId="0" applyFont="1" applyFill="1" applyBorder="1"/>
    <xf numFmtId="0" fontId="6" fillId="3" borderId="0" xfId="0" applyFont="1" applyFill="1"/>
    <xf numFmtId="0" fontId="6" fillId="3" borderId="16" xfId="0" applyFont="1" applyFill="1" applyBorder="1"/>
    <xf numFmtId="0" fontId="5" fillId="4" borderId="13" xfId="0" applyFont="1" applyFill="1" applyBorder="1"/>
    <xf numFmtId="0" fontId="5" fillId="4" borderId="0" xfId="0" applyFont="1" applyFill="1"/>
    <xf numFmtId="0" fontId="5" fillId="4" borderId="16" xfId="0" applyFont="1" applyFill="1" applyBorder="1"/>
    <xf numFmtId="0" fontId="11" fillId="7" borderId="17" xfId="0" applyFont="1" applyFill="1" applyBorder="1" applyAlignment="1">
      <alignment horizontal="center" vertical="center"/>
    </xf>
    <xf numFmtId="0" fontId="12" fillId="7" borderId="18" xfId="0" applyFont="1" applyFill="1" applyBorder="1"/>
    <xf numFmtId="0" fontId="0" fillId="0" borderId="0" xfId="0" applyAlignment="1">
      <alignment vertical="center"/>
    </xf>
    <xf numFmtId="9" fontId="7" fillId="3" borderId="19" xfId="0" applyNumberFormat="1" applyFont="1" applyFill="1" applyBorder="1" applyAlignment="1">
      <alignment horizontal="center"/>
    </xf>
    <xf numFmtId="9" fontId="7" fillId="3" borderId="20" xfId="0" applyNumberFormat="1" applyFont="1" applyFill="1" applyBorder="1" applyAlignment="1">
      <alignment horizontal="center"/>
    </xf>
    <xf numFmtId="0" fontId="7" fillId="3" borderId="20" xfId="0" applyFont="1" applyFill="1" applyBorder="1" applyAlignment="1">
      <alignment horizontal="center"/>
    </xf>
    <xf numFmtId="14" fontId="7" fillId="3" borderId="20" xfId="0" applyNumberFormat="1" applyFont="1" applyFill="1" applyBorder="1" applyAlignment="1">
      <alignment horizontal="center"/>
    </xf>
    <xf numFmtId="0" fontId="8" fillId="4" borderId="20" xfId="0" applyFont="1" applyFill="1" applyBorder="1" applyAlignment="1">
      <alignment horizontal="center"/>
    </xf>
    <xf numFmtId="0" fontId="8" fillId="4" borderId="22" xfId="0" applyFont="1" applyFill="1" applyBorder="1" applyAlignment="1">
      <alignment horizontal="center"/>
    </xf>
    <xf numFmtId="14" fontId="7" fillId="3" borderId="21" xfId="0" applyNumberFormat="1" applyFont="1" applyFill="1" applyBorder="1" applyAlignment="1">
      <alignment horizontal="center"/>
    </xf>
    <xf numFmtId="0" fontId="13" fillId="7" borderId="23" xfId="0" applyFont="1" applyFill="1" applyBorder="1" applyAlignment="1">
      <alignment horizontal="center"/>
    </xf>
    <xf numFmtId="0" fontId="8" fillId="4" borderId="21" xfId="0" applyFont="1" applyFill="1" applyBorder="1" applyAlignment="1">
      <alignment horizontal="center"/>
    </xf>
    <xf numFmtId="0" fontId="0" fillId="10" borderId="0" xfId="0" applyFill="1"/>
    <xf numFmtId="0" fontId="0" fillId="6" borderId="29" xfId="0" applyFill="1" applyBorder="1"/>
    <xf numFmtId="0" fontId="0" fillId="6" borderId="30" xfId="0" applyFill="1" applyBorder="1"/>
    <xf numFmtId="0" fontId="0" fillId="6" borderId="31" xfId="0" applyFill="1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1" fillId="6" borderId="1" xfId="0" applyFont="1" applyFill="1" applyBorder="1"/>
    <xf numFmtId="0" fontId="1" fillId="0" borderId="1" xfId="0" applyFont="1" applyBorder="1"/>
    <xf numFmtId="0" fontId="0" fillId="6" borderId="41" xfId="0" applyFill="1" applyBorder="1"/>
    <xf numFmtId="0" fontId="0" fillId="0" borderId="41" xfId="0" applyBorder="1"/>
    <xf numFmtId="0" fontId="0" fillId="6" borderId="36" xfId="0" applyFill="1" applyBorder="1"/>
    <xf numFmtId="0" fontId="0" fillId="6" borderId="43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42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7" borderId="44" xfId="0" applyFill="1" applyBorder="1"/>
    <xf numFmtId="0" fontId="0" fillId="7" borderId="45" xfId="0" applyFill="1" applyBorder="1"/>
    <xf numFmtId="0" fontId="0" fillId="3" borderId="45" xfId="0" applyFill="1" applyBorder="1"/>
    <xf numFmtId="0" fontId="0" fillId="4" borderId="45" xfId="0" applyFill="1" applyBorder="1"/>
    <xf numFmtId="0" fontId="0" fillId="2" borderId="45" xfId="0" applyFill="1" applyBorder="1"/>
    <xf numFmtId="0" fontId="0" fillId="2" borderId="46" xfId="0" applyFill="1" applyBorder="1"/>
    <xf numFmtId="0" fontId="0" fillId="7" borderId="47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0" fillId="7" borderId="50" xfId="0" applyFill="1" applyBorder="1" applyAlignment="1">
      <alignment horizontal="center" vertical="center"/>
    </xf>
    <xf numFmtId="0" fontId="0" fillId="3" borderId="50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0" fontId="19" fillId="7" borderId="0" xfId="0" applyFont="1" applyFill="1"/>
    <xf numFmtId="0" fontId="19" fillId="2" borderId="0" xfId="0" applyFont="1" applyFill="1"/>
    <xf numFmtId="0" fontId="0" fillId="3" borderId="46" xfId="0" applyFill="1" applyBorder="1"/>
    <xf numFmtId="0" fontId="0" fillId="6" borderId="0" xfId="0" applyFill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48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 vertical="center"/>
    </xf>
    <xf numFmtId="0" fontId="3" fillId="2" borderId="51" xfId="0" applyFont="1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 wrapText="1"/>
    </xf>
    <xf numFmtId="0" fontId="0" fillId="7" borderId="50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50" xfId="0" applyFill="1" applyBorder="1" applyAlignment="1">
      <alignment horizontal="center" vertical="center" wrapText="1"/>
    </xf>
    <xf numFmtId="0" fontId="0" fillId="7" borderId="47" xfId="0" applyFill="1" applyBorder="1" applyAlignment="1">
      <alignment horizontal="center" vertical="center" wrapText="1"/>
    </xf>
    <xf numFmtId="0" fontId="0" fillId="7" borderId="49" xfId="0" applyFill="1" applyBorder="1" applyAlignment="1">
      <alignment horizontal="center" vertical="center" wrapText="1"/>
    </xf>
    <xf numFmtId="14" fontId="8" fillId="4" borderId="22" xfId="0" applyNumberFormat="1" applyFont="1" applyFill="1" applyBorder="1" applyAlignment="1">
      <alignment horizontal="center"/>
    </xf>
    <xf numFmtId="2" fontId="8" fillId="4" borderId="20" xfId="0" applyNumberFormat="1" applyFont="1" applyFill="1" applyBorder="1" applyAlignment="1">
      <alignment horizontal="center"/>
    </xf>
    <xf numFmtId="0" fontId="0" fillId="0" borderId="1" xfId="0" applyBorder="1"/>
    <xf numFmtId="0" fontId="20" fillId="8" borderId="0" xfId="0" applyFont="1" applyFill="1" applyAlignment="1">
      <alignment horizontal="center" vertical="center"/>
    </xf>
    <xf numFmtId="0" fontId="0" fillId="8" borderId="0" xfId="0" applyFill="1"/>
    <xf numFmtId="0" fontId="1" fillId="5" borderId="32" xfId="0" applyFont="1" applyFill="1" applyBorder="1" applyAlignment="1">
      <alignment wrapText="1"/>
    </xf>
    <xf numFmtId="0" fontId="24" fillId="0" borderId="0" xfId="0" applyFont="1"/>
    <xf numFmtId="0" fontId="26" fillId="0" borderId="0" xfId="0" applyFont="1"/>
    <xf numFmtId="164" fontId="0" fillId="7" borderId="10" xfId="1" applyFont="1" applyFill="1" applyBorder="1" applyAlignment="1">
      <alignment horizontal="center" vertical="center" wrapText="1"/>
    </xf>
    <xf numFmtId="164" fontId="0" fillId="3" borderId="10" xfId="1" applyFont="1" applyFill="1" applyBorder="1" applyAlignment="1">
      <alignment horizontal="center" vertical="center" wrapText="1"/>
    </xf>
    <xf numFmtId="164" fontId="0" fillId="7" borderId="47" xfId="1" applyFont="1" applyFill="1" applyBorder="1" applyAlignment="1">
      <alignment horizontal="center" vertical="center" wrapText="1"/>
    </xf>
    <xf numFmtId="164" fontId="0" fillId="3" borderId="48" xfId="1" applyFont="1" applyFill="1" applyBorder="1" applyAlignment="1">
      <alignment horizontal="center" vertical="center" wrapText="1"/>
    </xf>
    <xf numFmtId="0" fontId="26" fillId="16" borderId="0" xfId="0" applyFont="1" applyFill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1" fillId="6" borderId="32" xfId="0" applyFont="1" applyFill="1" applyBorder="1"/>
    <xf numFmtId="0" fontId="1" fillId="0" borderId="55" xfId="0" applyFont="1" applyBorder="1"/>
    <xf numFmtId="0" fontId="1" fillId="0" borderId="56" xfId="0" applyFont="1" applyBorder="1"/>
    <xf numFmtId="0" fontId="1" fillId="0" borderId="32" xfId="0" applyFont="1" applyBorder="1" applyAlignment="1">
      <alignment vertical="top" wrapText="1"/>
    </xf>
    <xf numFmtId="0" fontId="0" fillId="0" borderId="57" xfId="0" applyBorder="1"/>
    <xf numFmtId="0" fontId="0" fillId="6" borderId="58" xfId="0" applyFill="1" applyBorder="1"/>
    <xf numFmtId="0" fontId="0" fillId="0" borderId="8" xfId="0" applyBorder="1"/>
    <xf numFmtId="0" fontId="0" fillId="0" borderId="58" xfId="0" applyBorder="1"/>
    <xf numFmtId="0" fontId="1" fillId="0" borderId="1" xfId="0" applyFont="1" applyBorder="1" applyAlignment="1">
      <alignment vertical="top"/>
    </xf>
    <xf numFmtId="0" fontId="0" fillId="0" borderId="59" xfId="0" applyBorder="1"/>
    <xf numFmtId="0" fontId="0" fillId="0" borderId="60" xfId="0" applyBorder="1"/>
    <xf numFmtId="0" fontId="3" fillId="3" borderId="10" xfId="0" applyFont="1" applyFill="1" applyBorder="1" applyAlignment="1">
      <alignment horizontal="center" vertical="center" wrapText="1"/>
    </xf>
    <xf numFmtId="0" fontId="3" fillId="3" borderId="50" xfId="0" applyFont="1" applyFill="1" applyBorder="1" applyAlignment="1">
      <alignment horizontal="center" vertical="center" wrapText="1"/>
    </xf>
    <xf numFmtId="0" fontId="3" fillId="3" borderId="48" xfId="0" applyFont="1" applyFill="1" applyBorder="1" applyAlignment="1">
      <alignment horizontal="center" vertical="center" wrapText="1"/>
    </xf>
    <xf numFmtId="0" fontId="3" fillId="3" borderId="51" xfId="0" applyFont="1" applyFill="1" applyBorder="1" applyAlignment="1">
      <alignment horizontal="center" vertical="center" wrapText="1"/>
    </xf>
    <xf numFmtId="0" fontId="17" fillId="5" borderId="0" xfId="0" applyFont="1" applyFill="1"/>
    <xf numFmtId="0" fontId="9" fillId="3" borderId="12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10" fillId="4" borderId="12" xfId="0" applyFont="1" applyFill="1" applyBorder="1" applyAlignment="1">
      <alignment horizontal="center" vertical="center"/>
    </xf>
    <xf numFmtId="0" fontId="10" fillId="4" borderId="14" xfId="0" applyFont="1" applyFill="1" applyBorder="1" applyAlignment="1">
      <alignment horizontal="center" vertical="center"/>
    </xf>
    <xf numFmtId="0" fontId="10" fillId="4" borderId="15" xfId="0" applyFont="1" applyFill="1" applyBorder="1" applyAlignment="1">
      <alignment horizontal="center" vertical="center"/>
    </xf>
    <xf numFmtId="0" fontId="14" fillId="9" borderId="13" xfId="0" applyFont="1" applyFill="1" applyBorder="1" applyAlignment="1">
      <alignment horizontal="center" vertical="center"/>
    </xf>
    <xf numFmtId="0" fontId="14" fillId="9" borderId="0" xfId="0" applyFont="1" applyFill="1" applyAlignment="1">
      <alignment horizontal="center" vertical="center"/>
    </xf>
    <xf numFmtId="0" fontId="14" fillId="9" borderId="16" xfId="0" applyFont="1" applyFill="1" applyBorder="1" applyAlignment="1">
      <alignment horizontal="center" vertical="center"/>
    </xf>
    <xf numFmtId="165" fontId="16" fillId="9" borderId="19" xfId="0" applyNumberFormat="1" applyFont="1" applyFill="1" applyBorder="1" applyAlignment="1">
      <alignment horizontal="center" vertical="center"/>
    </xf>
    <xf numFmtId="165" fontId="16" fillId="9" borderId="20" xfId="0" applyNumberFormat="1" applyFont="1" applyFill="1" applyBorder="1" applyAlignment="1">
      <alignment horizontal="center" vertical="center"/>
    </xf>
    <xf numFmtId="0" fontId="15" fillId="9" borderId="24" xfId="0" applyFont="1" applyFill="1" applyBorder="1" applyAlignment="1">
      <alignment horizontal="center" vertical="center"/>
    </xf>
    <xf numFmtId="0" fontId="15" fillId="9" borderId="11" xfId="0" applyFont="1" applyFill="1" applyBorder="1" applyAlignment="1">
      <alignment horizontal="center" vertical="center"/>
    </xf>
    <xf numFmtId="165" fontId="16" fillId="9" borderId="21" xfId="0" applyNumberFormat="1" applyFont="1" applyFill="1" applyBorder="1" applyAlignment="1">
      <alignment horizontal="center" vertical="center"/>
    </xf>
    <xf numFmtId="0" fontId="15" fillId="9" borderId="25" xfId="0" applyFont="1" applyFill="1" applyBorder="1" applyAlignment="1">
      <alignment horizontal="center" vertical="center"/>
    </xf>
    <xf numFmtId="0" fontId="22" fillId="11" borderId="2" xfId="0" applyFont="1" applyFill="1" applyBorder="1" applyAlignment="1">
      <alignment horizontal="center" vertical="center"/>
    </xf>
    <xf numFmtId="0" fontId="22" fillId="11" borderId="3" xfId="0" applyFont="1" applyFill="1" applyBorder="1" applyAlignment="1">
      <alignment horizontal="center" vertical="center"/>
    </xf>
    <xf numFmtId="0" fontId="22" fillId="11" borderId="4" xfId="0" applyFont="1" applyFill="1" applyBorder="1" applyAlignment="1">
      <alignment horizontal="center" vertical="center"/>
    </xf>
    <xf numFmtId="0" fontId="22" fillId="11" borderId="5" xfId="0" applyFont="1" applyFill="1" applyBorder="1" applyAlignment="1">
      <alignment horizontal="center" vertical="center"/>
    </xf>
    <xf numFmtId="0" fontId="22" fillId="11" borderId="0" xfId="0" applyFont="1" applyFill="1" applyAlignment="1">
      <alignment horizontal="center" vertical="center"/>
    </xf>
    <xf numFmtId="0" fontId="22" fillId="11" borderId="6" xfId="0" applyFont="1" applyFill="1" applyBorder="1" applyAlignment="1">
      <alignment horizontal="center" vertical="center"/>
    </xf>
    <xf numFmtId="0" fontId="22" fillId="11" borderId="7" xfId="0" applyFont="1" applyFill="1" applyBorder="1" applyAlignment="1">
      <alignment horizontal="center" vertical="center"/>
    </xf>
    <xf numFmtId="0" fontId="22" fillId="11" borderId="8" xfId="0" applyFont="1" applyFill="1" applyBorder="1" applyAlignment="1">
      <alignment horizontal="center" vertical="center"/>
    </xf>
    <xf numFmtId="0" fontId="22" fillId="11" borderId="9" xfId="0" applyFont="1" applyFill="1" applyBorder="1" applyAlignment="1">
      <alignment horizontal="center" vertical="center"/>
    </xf>
    <xf numFmtId="0" fontId="17" fillId="12" borderId="3" xfId="0" applyFont="1" applyFill="1" applyBorder="1" applyAlignment="1">
      <alignment horizontal="center" vertical="center"/>
    </xf>
    <xf numFmtId="0" fontId="17" fillId="12" borderId="27" xfId="0" applyFont="1" applyFill="1" applyBorder="1" applyAlignment="1">
      <alignment horizontal="center" vertical="center"/>
    </xf>
    <xf numFmtId="0" fontId="17" fillId="12" borderId="26" xfId="0" applyFont="1" applyFill="1" applyBorder="1" applyAlignment="1">
      <alignment horizontal="center" vertical="center"/>
    </xf>
    <xf numFmtId="0" fontId="17" fillId="12" borderId="28" xfId="0" applyFont="1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2" borderId="26" xfId="0" applyFill="1" applyBorder="1" applyAlignment="1">
      <alignment horizontal="center" vertical="center"/>
    </xf>
    <xf numFmtId="0" fontId="18" fillId="14" borderId="2" xfId="0" applyFont="1" applyFill="1" applyBorder="1" applyAlignment="1">
      <alignment horizontal="center" vertical="center" wrapText="1"/>
    </xf>
    <xf numFmtId="0" fontId="18" fillId="14" borderId="3" xfId="0" applyFont="1" applyFill="1" applyBorder="1" applyAlignment="1">
      <alignment horizontal="center" vertical="center"/>
    </xf>
    <xf numFmtId="0" fontId="18" fillId="14" borderId="5" xfId="0" applyFont="1" applyFill="1" applyBorder="1" applyAlignment="1">
      <alignment horizontal="center" vertical="center"/>
    </xf>
    <xf numFmtId="0" fontId="18" fillId="14" borderId="0" xfId="0" applyFont="1" applyFill="1" applyAlignment="1">
      <alignment horizontal="center" vertical="center"/>
    </xf>
    <xf numFmtId="0" fontId="18" fillId="14" borderId="7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20" fillId="8" borderId="0" xfId="0" applyFont="1" applyFill="1" applyAlignment="1">
      <alignment horizontal="center" vertical="center"/>
    </xf>
    <xf numFmtId="0" fontId="1" fillId="7" borderId="2" xfId="0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1" fillId="12" borderId="0" xfId="0" applyFont="1" applyFill="1" applyAlignment="1">
      <alignment horizontal="center" vertical="center" wrapText="1"/>
    </xf>
    <xf numFmtId="0" fontId="23" fillId="15" borderId="32" xfId="0" applyFont="1" applyFill="1" applyBorder="1" applyAlignment="1">
      <alignment horizontal="center"/>
    </xf>
    <xf numFmtId="0" fontId="23" fillId="15" borderId="33" xfId="0" applyFont="1" applyFill="1" applyBorder="1" applyAlignment="1">
      <alignment horizontal="center"/>
    </xf>
    <xf numFmtId="0" fontId="23" fillId="15" borderId="34" xfId="0" applyFont="1" applyFill="1" applyBorder="1" applyAlignment="1">
      <alignment horizontal="center"/>
    </xf>
    <xf numFmtId="0" fontId="21" fillId="5" borderId="0" xfId="0" applyFont="1" applyFill="1" applyAlignment="1">
      <alignment horizontal="center" vertical="center" wrapText="1"/>
    </xf>
    <xf numFmtId="0" fontId="1" fillId="7" borderId="2" xfId="0" applyFont="1" applyFill="1" applyBorder="1" applyAlignment="1">
      <alignment horizontal="center" wrapText="1"/>
    </xf>
    <xf numFmtId="0" fontId="2" fillId="8" borderId="32" xfId="0" applyFont="1" applyFill="1" applyBorder="1" applyAlignment="1">
      <alignment horizontal="center"/>
    </xf>
    <xf numFmtId="0" fontId="2" fillId="8" borderId="33" xfId="0" applyFont="1" applyFill="1" applyBorder="1" applyAlignment="1">
      <alignment horizontal="center"/>
    </xf>
    <xf numFmtId="0" fontId="2" fillId="13" borderId="32" xfId="0" applyFont="1" applyFill="1" applyBorder="1" applyAlignment="1">
      <alignment horizontal="center"/>
    </xf>
    <xf numFmtId="0" fontId="2" fillId="13" borderId="33" xfId="0" applyFont="1" applyFill="1" applyBorder="1" applyAlignment="1">
      <alignment horizontal="center"/>
    </xf>
    <xf numFmtId="0" fontId="2" fillId="13" borderId="34" xfId="0" applyFont="1" applyFill="1" applyBorder="1" applyAlignment="1">
      <alignment horizontal="center"/>
    </xf>
    <xf numFmtId="0" fontId="27" fillId="18" borderId="0" xfId="0" applyFont="1" applyFill="1" applyAlignment="1">
      <alignment horizontal="center" vertical="center" wrapText="1"/>
    </xf>
    <xf numFmtId="0" fontId="2" fillId="17" borderId="32" xfId="0" applyFont="1" applyFill="1" applyBorder="1" applyAlignment="1">
      <alignment horizontal="center"/>
    </xf>
    <xf numFmtId="0" fontId="2" fillId="17" borderId="33" xfId="0" applyFont="1" applyFill="1" applyBorder="1" applyAlignment="1">
      <alignment horizontal="center"/>
    </xf>
    <xf numFmtId="0" fontId="2" fillId="17" borderId="34" xfId="0" applyFont="1" applyFill="1" applyBorder="1" applyAlignment="1">
      <alignment horizontal="center"/>
    </xf>
    <xf numFmtId="0" fontId="1" fillId="7" borderId="32" xfId="0" applyFont="1" applyFill="1" applyBorder="1" applyAlignment="1">
      <alignment horizontal="center" wrapText="1"/>
    </xf>
    <xf numFmtId="0" fontId="1" fillId="7" borderId="34" xfId="0" applyFont="1" applyFill="1" applyBorder="1" applyAlignment="1">
      <alignment horizontal="center" wrapText="1"/>
    </xf>
    <xf numFmtId="0" fontId="1" fillId="3" borderId="32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center"/>
    </xf>
    <xf numFmtId="0" fontId="2" fillId="8" borderId="34" xfId="0" applyFont="1" applyFill="1" applyBorder="1" applyAlignment="1">
      <alignment horizontal="center"/>
    </xf>
    <xf numFmtId="0" fontId="27" fillId="19" borderId="0" xfId="0" applyFont="1" applyFill="1" applyAlignment="1">
      <alignment horizontal="center" vertical="center" wrapText="1"/>
    </xf>
  </cellXfs>
  <cellStyles count="2">
    <cellStyle name="Milliers" xfId="1" builtinId="3"/>
    <cellStyle name="Normal" xfId="0" builtinId="0"/>
  </cellStyles>
  <dxfs count="0"/>
  <tableStyles count="0" defaultTableStyle="TableStyleMedium2" defaultPivotStyle="PivotStyleLight16"/>
  <colors>
    <mruColors>
      <color rgb="FF0000FF"/>
      <color rgb="FFFFCCFF"/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Gap x NbSteps as a function of Number of Steps</a:t>
            </a:r>
            <a:endParaRPr lang="en-US" b="1" baseline="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0239734495997919"/>
          <c:y val="1.79226960250776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772282596906789E-2"/>
          <c:y val="0.18859156892387971"/>
          <c:w val="0.90546183379970069"/>
          <c:h val="0.72986792595950811"/>
        </c:manualLayout>
      </c:layout>
      <c:scatterChart>
        <c:scatterStyle val="smoothMarker"/>
        <c:varyColors val="0"/>
        <c:ser>
          <c:idx val="0"/>
          <c:order val="0"/>
          <c:tx>
            <c:v>test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'Tree vs BS (1)'!$A$13:$A$512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</c:numCache>
            </c:numRef>
          </c:xVal>
          <c:yVal>
            <c:numRef>
              <c:f>'Tree vs BS (1)'!$D$13:$D$512</c:f>
              <c:numCache>
                <c:formatCode>General</c:formatCode>
                <c:ptCount val="500"/>
                <c:pt idx="0">
                  <c:v>-0.84934989910630598</c:v>
                </c:pt>
                <c:pt idx="1">
                  <c:v>-0.77302855474734855</c:v>
                </c:pt>
                <c:pt idx="2">
                  <c:v>-0.64297385575737565</c:v>
                </c:pt>
                <c:pt idx="3">
                  <c:v>-0.527000447497187</c:v>
                </c:pt>
                <c:pt idx="4">
                  <c:v>-0.42693562108707894</c:v>
                </c:pt>
                <c:pt idx="5">
                  <c:v>-0.33893486750707424</c:v>
                </c:pt>
                <c:pt idx="6">
                  <c:v>-0.2600243570932026</c:v>
                </c:pt>
                <c:pt idx="7">
                  <c:v>-0.18826149753505206</c:v>
                </c:pt>
                <c:pt idx="8">
                  <c:v>-0.12235040831679456</c:v>
                </c:pt>
                <c:pt idx="9">
                  <c:v>-6.1377291113426935E-2</c:v>
                </c:pt>
                <c:pt idx="10">
                  <c:v>-4.6629193297089699E-3</c:v>
                </c:pt>
                <c:pt idx="11">
                  <c:v>4.8318910043754215E-2</c:v>
                </c:pt>
                <c:pt idx="12">
                  <c:v>9.7988654314580259E-2</c:v>
                </c:pt>
                <c:pt idx="13">
                  <c:v>0.14469018341194584</c:v>
                </c:pt>
                <c:pt idx="14">
                  <c:v>0.18870984794325807</c:v>
                </c:pt>
                <c:pt idx="15">
                  <c:v>0.23028957524380189</c:v>
                </c:pt>
                <c:pt idx="16">
                  <c:v>0.26963622136646315</c:v>
                </c:pt>
                <c:pt idx="17">
                  <c:v>0.30692845792336598</c:v>
                </c:pt>
                <c:pt idx="18">
                  <c:v>0.34232196955325733</c:v>
                </c:pt>
                <c:pt idx="19">
                  <c:v>0.37595345593210538</c:v>
                </c:pt>
                <c:pt idx="20">
                  <c:v>0.40794376549094835</c:v>
                </c:pt>
                <c:pt idx="21">
                  <c:v>0.43840038467813258</c:v>
                </c:pt>
                <c:pt idx="22">
                  <c:v>0.46741944007082914</c:v>
                </c:pt>
                <c:pt idx="23">
                  <c:v>0.49508732663626631</c:v>
                </c:pt>
                <c:pt idx="24">
                  <c:v>0.5214820449056301</c:v>
                </c:pt>
                <c:pt idx="25">
                  <c:v>0.54667430889342228</c:v>
                </c:pt>
                <c:pt idx="26">
                  <c:v>0.57072847144789307</c:v>
                </c:pt>
                <c:pt idx="27">
                  <c:v>0.59370330275509531</c:v>
                </c:pt>
                <c:pt idx="28">
                  <c:v>0.61565264973512512</c:v>
                </c:pt>
                <c:pt idx="29">
                  <c:v>0.63662599800208497</c:v>
                </c:pt>
                <c:pt idx="30">
                  <c:v>0.65666895354520705</c:v>
                </c:pt>
                <c:pt idx="31">
                  <c:v>0.67582365768350883</c:v>
                </c:pt>
                <c:pt idx="32">
                  <c:v>0.69412914648036406</c:v>
                </c:pt>
                <c:pt idx="33">
                  <c:v>0.71162166337719057</c:v>
                </c:pt>
                <c:pt idx="34">
                  <c:v>0.7283349322586119</c:v>
                </c:pt>
                <c:pt idx="35">
                  <c:v>0.74430039702458117</c:v>
                </c:pt>
                <c:pt idx="36">
                  <c:v>0.75954743266379587</c:v>
                </c:pt>
                <c:pt idx="37">
                  <c:v>0.77410353148650302</c:v>
                </c:pt>
                <c:pt idx="38">
                  <c:v>0.78799446859746247</c:v>
                </c:pt>
                <c:pt idx="39">
                  <c:v>0.80124444878499901</c:v>
                </c:pt>
                <c:pt idx="40">
                  <c:v>0.8138762378088007</c:v>
                </c:pt>
                <c:pt idx="41">
                  <c:v>0.82591127969898182</c:v>
                </c:pt>
                <c:pt idx="42">
                  <c:v>0.83736980221197221</c:v>
                </c:pt>
                <c:pt idx="43">
                  <c:v>0.84827091134143018</c:v>
                </c:pt>
                <c:pt idx="44">
                  <c:v>0.8586326770239161</c:v>
                </c:pt>
                <c:pt idx="45">
                  <c:v>0.86847221010887665</c:v>
                </c:pt>
                <c:pt idx="46">
                  <c:v>0.87780573245052551</c:v>
                </c:pt>
                <c:pt idx="47">
                  <c:v>0.88664864049115977</c:v>
                </c:pt>
                <c:pt idx="48">
                  <c:v>0.89501556290398199</c:v>
                </c:pt>
                <c:pt idx="49">
                  <c:v>0.90292041335455764</c:v>
                </c:pt>
                <c:pt idx="50">
                  <c:v>0.91037643863524842</c:v>
                </c:pt>
                <c:pt idx="51">
                  <c:v>0.91739626245721695</c:v>
                </c:pt>
                <c:pt idx="52">
                  <c:v>0.92399192620267812</c:v>
                </c:pt>
                <c:pt idx="53">
                  <c:v>0.93017492565883941</c:v>
                </c:pt>
                <c:pt idx="54">
                  <c:v>0.93595624499352326</c:v>
                </c:pt>
                <c:pt idx="55">
                  <c:v>0.94134638861805797</c:v>
                </c:pt>
                <c:pt idx="56">
                  <c:v>0.94635540938766383</c:v>
                </c:pt>
                <c:pt idx="57">
                  <c:v>0.95099293596345902</c:v>
                </c:pt>
                <c:pt idx="58">
                  <c:v>0.95526819735652779</c:v>
                </c:pt>
                <c:pt idx="59">
                  <c:v>0.95919004562752264</c:v>
                </c:pt>
                <c:pt idx="60">
                  <c:v>0.96276697713481951</c:v>
                </c:pt>
                <c:pt idx="61">
                  <c:v>0.96600715270668047</c:v>
                </c:pt>
                <c:pt idx="62">
                  <c:v>0.96891841532186795</c:v>
                </c:pt>
                <c:pt idx="63">
                  <c:v>0.97150830766827312</c:v>
                </c:pt>
                <c:pt idx="64">
                  <c:v>0.97378408779850822</c:v>
                </c:pt>
                <c:pt idx="65">
                  <c:v>0.97575274397421197</c:v>
                </c:pt>
                <c:pt idx="66">
                  <c:v>0.97742100876994087</c:v>
                </c:pt>
                <c:pt idx="67">
                  <c:v>0.97879537160245889</c:v>
                </c:pt>
                <c:pt idx="68">
                  <c:v>0.97988209112489777</c:v>
                </c:pt>
                <c:pt idx="69">
                  <c:v>0.98068720676740995</c:v>
                </c:pt>
                <c:pt idx="70">
                  <c:v>0.98121654870900699</c:v>
                </c:pt>
                <c:pt idx="71">
                  <c:v>0.98147574858262487</c:v>
                </c:pt>
                <c:pt idx="72">
                  <c:v>0.98147024837241226</c:v>
                </c:pt>
                <c:pt idx="73">
                  <c:v>0.98120530976452613</c:v>
                </c:pt>
                <c:pt idx="74">
                  <c:v>0.98068602171079711</c:v>
                </c:pt>
                <c:pt idx="75">
                  <c:v>0.9799173089635218</c:v>
                </c:pt>
                <c:pt idx="76">
                  <c:v>0.97890393871442249</c:v>
                </c:pt>
                <c:pt idx="77">
                  <c:v>0.97765052824057719</c:v>
                </c:pt>
                <c:pt idx="78">
                  <c:v>0.97616155113762737</c:v>
                </c:pt>
                <c:pt idx="79">
                  <c:v>0.97444134346062583</c:v>
                </c:pt>
                <c:pt idx="80">
                  <c:v>0.97249410941904912</c:v>
                </c:pt>
                <c:pt idx="81">
                  <c:v>0.97032392751277996</c:v>
                </c:pt>
                <c:pt idx="82">
                  <c:v>0.96793475525721284</c:v>
                </c:pt>
                <c:pt idx="83">
                  <c:v>0.96533043391557527</c:v>
                </c:pt>
                <c:pt idx="84">
                  <c:v>0.96251469415666868</c:v>
                </c:pt>
                <c:pt idx="85">
                  <c:v>0.95949115942166685</c:v>
                </c:pt>
                <c:pt idx="86">
                  <c:v>0.95626335097712278</c:v>
                </c:pt>
                <c:pt idx="87">
                  <c:v>0.95283469138944099</c:v>
                </c:pt>
                <c:pt idx="88">
                  <c:v>0.94920850867817386</c:v>
                </c:pt>
                <c:pt idx="89">
                  <c:v>0.94538803982958441</c:v>
                </c:pt>
                <c:pt idx="90">
                  <c:v>0.941376434072831</c:v>
                </c:pt>
                <c:pt idx="91">
                  <c:v>0.93717675651079446</c:v>
                </c:pt>
                <c:pt idx="92">
                  <c:v>0.93279199117836065</c:v>
                </c:pt>
                <c:pt idx="93">
                  <c:v>0.92822504383458337</c:v>
                </c:pt>
                <c:pt idx="94">
                  <c:v>0.92347874467959556</c:v>
                </c:pt>
                <c:pt idx="95">
                  <c:v>0.91855585134186413</c:v>
                </c:pt>
                <c:pt idx="96">
                  <c:v>0.91345905188804011</c:v>
                </c:pt>
                <c:pt idx="97">
                  <c:v>0.90819096605620686</c:v>
                </c:pt>
                <c:pt idx="98">
                  <c:v>0.90275414915166508</c:v>
                </c:pt>
                <c:pt idx="99">
                  <c:v>0.89715109254555614</c:v>
                </c:pt>
                <c:pt idx="100">
                  <c:v>0.89138422783982385</c:v>
                </c:pt>
                <c:pt idx="101">
                  <c:v>0.88545592697214914</c:v>
                </c:pt>
                <c:pt idx="102">
                  <c:v>0.87936850590672044</c:v>
                </c:pt>
                <c:pt idx="103">
                  <c:v>0.87312422475768869</c:v>
                </c:pt>
                <c:pt idx="104">
                  <c:v>0.86672529161511136</c:v>
                </c:pt>
                <c:pt idx="105">
                  <c:v>0.86017386247130645</c:v>
                </c:pt>
                <c:pt idx="106">
                  <c:v>0.85347204383415587</c:v>
                </c:pt>
                <c:pt idx="107">
                  <c:v>0.84662189418697409</c:v>
                </c:pt>
                <c:pt idx="108">
                  <c:v>0.83962542517256189</c:v>
                </c:pt>
                <c:pt idx="109">
                  <c:v>0.83248460370437982</c:v>
                </c:pt>
                <c:pt idx="110">
                  <c:v>0.82520135248837434</c:v>
                </c:pt>
                <c:pt idx="111">
                  <c:v>0.8177775520470334</c:v>
                </c:pt>
                <c:pt idx="112">
                  <c:v>0.8102150425430068</c:v>
                </c:pt>
                <c:pt idx="113">
                  <c:v>0.80251562281607036</c:v>
                </c:pt>
                <c:pt idx="114">
                  <c:v>0.79468105491567798</c:v>
                </c:pt>
                <c:pt idx="115">
                  <c:v>0.78671306140506658</c:v>
                </c:pt>
                <c:pt idx="116">
                  <c:v>0.7786133306523908</c:v>
                </c:pt>
                <c:pt idx="117">
                  <c:v>0.77038351350716283</c:v>
                </c:pt>
                <c:pt idx="118">
                  <c:v>0.76202522851313681</c:v>
                </c:pt>
                <c:pt idx="119">
                  <c:v>0.75354005936667079</c:v>
                </c:pt>
                <c:pt idx="120">
                  <c:v>0.7449295587081366</c:v>
                </c:pt>
                <c:pt idx="121">
                  <c:v>0.73619524686357352</c:v>
                </c:pt>
                <c:pt idx="122">
                  <c:v>0.72733861377891884</c:v>
                </c:pt>
                <c:pt idx="123">
                  <c:v>0.71836112029927079</c:v>
                </c:pt>
                <c:pt idx="124">
                  <c:v>0.70926419777928018</c:v>
                </c:pt>
                <c:pt idx="125">
                  <c:v>0.70004924947321712</c:v>
                </c:pt>
                <c:pt idx="126">
                  <c:v>0.69071765168460608</c:v>
                </c:pt>
                <c:pt idx="127">
                  <c:v>0.6812707544722798</c:v>
                </c:pt>
                <c:pt idx="128">
                  <c:v>0.67170988121328357</c:v>
                </c:pt>
                <c:pt idx="129">
                  <c:v>0.6620363304319099</c:v>
                </c:pt>
                <c:pt idx="130">
                  <c:v>0.65225137678216605</c:v>
                </c:pt>
                <c:pt idx="131">
                  <c:v>0.64235626993689721</c:v>
                </c:pt>
                <c:pt idx="132">
                  <c:v>0.63235223719219213</c:v>
                </c:pt>
                <c:pt idx="133">
                  <c:v>0.62224048314925184</c:v>
                </c:pt>
                <c:pt idx="134">
                  <c:v>0.61202218949265585</c:v>
                </c:pt>
                <c:pt idx="135">
                  <c:v>0.60169851785425976</c:v>
                </c:pt>
                <c:pt idx="136">
                  <c:v>0.59127060733314885</c:v>
                </c:pt>
                <c:pt idx="137">
                  <c:v>0.58073957822654876</c:v>
                </c:pt>
                <c:pt idx="138">
                  <c:v>0.5701065300653898</c:v>
                </c:pt>
                <c:pt idx="139">
                  <c:v>0.55937254218711985</c:v>
                </c:pt>
                <c:pt idx="140">
                  <c:v>0.5485386763296205</c:v>
                </c:pt>
                <c:pt idx="141">
                  <c:v>0.537605975846418</c:v>
                </c:pt>
                <c:pt idx="142">
                  <c:v>0.52657546398852517</c:v>
                </c:pt>
                <c:pt idx="143">
                  <c:v>0.51544814939356343</c:v>
                </c:pt>
                <c:pt idx="144">
                  <c:v>0.50422502063401708</c:v>
                </c:pt>
                <c:pt idx="145">
                  <c:v>0.49290705178457017</c:v>
                </c:pt>
                <c:pt idx="146">
                  <c:v>0.48149519912876038</c:v>
                </c:pt>
                <c:pt idx="147">
                  <c:v>0.46999040386381097</c:v>
                </c:pt>
                <c:pt idx="148">
                  <c:v>0.458393590733019</c:v>
                </c:pt>
                <c:pt idx="149">
                  <c:v>0.44670566970879122</c:v>
                </c:pt>
                <c:pt idx="150">
                  <c:v>0.43492753612137669</c:v>
                </c:pt>
                <c:pt idx="151">
                  <c:v>0.42306007053169026</c:v>
                </c:pt>
                <c:pt idx="152">
                  <c:v>0.411104138330046</c:v>
                </c:pt>
                <c:pt idx="153">
                  <c:v>0.39906059196384547</c:v>
                </c:pt>
                <c:pt idx="154">
                  <c:v>0.38693027046359241</c:v>
                </c:pt>
                <c:pt idx="155">
                  <c:v>0.37471399923320803</c:v>
                </c:pt>
                <c:pt idx="156">
                  <c:v>0.36241259061539033</c:v>
                </c:pt>
                <c:pt idx="157">
                  <c:v>0.35002684418092755</c:v>
                </c:pt>
                <c:pt idx="158">
                  <c:v>0.33755754643429725</c:v>
                </c:pt>
                <c:pt idx="159">
                  <c:v>0.32500547328908169</c:v>
                </c:pt>
                <c:pt idx="160">
                  <c:v>0.31237138691002819</c:v>
                </c:pt>
                <c:pt idx="161">
                  <c:v>0.29965603978904554</c:v>
                </c:pt>
                <c:pt idx="162">
                  <c:v>0.28686017105559536</c:v>
                </c:pt>
                <c:pt idx="163">
                  <c:v>0.27398451034083848</c:v>
                </c:pt>
                <c:pt idx="164">
                  <c:v>0.26102977496146096</c:v>
                </c:pt>
                <c:pt idx="165">
                  <c:v>0.24799667148245419</c:v>
                </c:pt>
                <c:pt idx="166">
                  <c:v>0.23488589810760097</c:v>
                </c:pt>
                <c:pt idx="167">
                  <c:v>0.22169814032166357</c:v>
                </c:pt>
                <c:pt idx="168">
                  <c:v>0.20843407461913444</c:v>
                </c:pt>
                <c:pt idx="169">
                  <c:v>0.19509436782394474</c:v>
                </c:pt>
                <c:pt idx="170">
                  <c:v>0.18167967615014824</c:v>
                </c:pt>
                <c:pt idx="171">
                  <c:v>0.16819064795500083</c:v>
                </c:pt>
                <c:pt idx="172">
                  <c:v>0.15462792023635963</c:v>
                </c:pt>
                <c:pt idx="173">
                  <c:v>0.14099212285820428</c:v>
                </c:pt>
                <c:pt idx="174">
                  <c:v>0.12728387615053016</c:v>
                </c:pt>
                <c:pt idx="175">
                  <c:v>0.11350379060883142</c:v>
                </c:pt>
                <c:pt idx="176">
                  <c:v>9.9652469537724997E-2</c:v>
                </c:pt>
                <c:pt idx="177">
                  <c:v>8.5730507834348657E-2</c:v>
                </c:pt>
                <c:pt idx="178">
                  <c:v>7.1738492101433238E-2</c:v>
                </c:pt>
                <c:pt idx="179">
                  <c:v>5.7676999091320624E-2</c:v>
                </c:pt>
                <c:pt idx="180">
                  <c:v>4.3546599998812496E-2</c:v>
                </c:pt>
                <c:pt idx="181">
                  <c:v>2.9347856992831822E-2</c:v>
                </c:pt>
                <c:pt idx="182">
                  <c:v>1.5081324658646977E-2</c:v>
                </c:pt>
                <c:pt idx="183">
                  <c:v>7.4755171912954665E-4</c:v>
                </c:pt>
                <c:pt idx="184">
                  <c:v>-1.3652923083933288E-2</c:v>
                </c:pt>
                <c:pt idx="185">
                  <c:v>-2.8119566378336458E-2</c:v>
                </c:pt>
                <c:pt idx="186">
                  <c:v>-4.2651851713756628E-2</c:v>
                </c:pt>
                <c:pt idx="187">
                  <c:v>-5.7249261529669582E-2</c:v>
                </c:pt>
                <c:pt idx="188">
                  <c:v>-7.1911282413370969E-2</c:v>
                </c:pt>
                <c:pt idx="189">
                  <c:v>-8.6637410261776182E-2</c:v>
                </c:pt>
                <c:pt idx="190">
                  <c:v>-0.10142714457391655</c:v>
                </c:pt>
                <c:pt idx="191">
                  <c:v>-0.11627999484153406</c:v>
                </c:pt>
                <c:pt idx="192">
                  <c:v>-0.1311954739091199</c:v>
                </c:pt>
                <c:pt idx="193">
                  <c:v>-0.14617310134535444</c:v>
                </c:pt>
                <c:pt idx="194">
                  <c:v>-0.16121240502433132</c:v>
                </c:pt>
                <c:pt idx="195">
                  <c:v>-0.17631291519982994</c:v>
                </c:pt>
                <c:pt idx="196">
                  <c:v>-0.19147417218499641</c:v>
                </c:pt>
                <c:pt idx="197">
                  <c:v>-0.20669571832241473</c:v>
                </c:pt>
                <c:pt idx="198">
                  <c:v>-0.22197710244473257</c:v>
                </c:pt>
                <c:pt idx="199">
                  <c:v>-0.237317881859056</c:v>
                </c:pt>
                <c:pt idx="200">
                  <c:v>-0.25271761571280393</c:v>
                </c:pt>
                <c:pt idx="201">
                  <c:v>-0.26817587126149078</c:v>
                </c:pt>
                <c:pt idx="202">
                  <c:v>-0.28369221860570626</c:v>
                </c:pt>
                <c:pt idx="203">
                  <c:v>-0.29926623464336899</c:v>
                </c:pt>
                <c:pt idx="204">
                  <c:v>-0.31489750139089168</c:v>
                </c:pt>
                <c:pt idx="205">
                  <c:v>-0.33058560457233455</c:v>
                </c:pt>
                <c:pt idx="206">
                  <c:v>-0.34633013771698451</c:v>
                </c:pt>
                <c:pt idx="207">
                  <c:v>-0.36213069555995503</c:v>
                </c:pt>
                <c:pt idx="208">
                  <c:v>-0.37798687945043241</c:v>
                </c:pt>
                <c:pt idx="209">
                  <c:v>-0.39389829660141373</c:v>
                </c:pt>
                <c:pt idx="210">
                  <c:v>-0.40986455771339614</c:v>
                </c:pt>
                <c:pt idx="211">
                  <c:v>-0.4258852766569845</c:v>
                </c:pt>
                <c:pt idx="212">
                  <c:v>-0.44196007490801215</c:v>
                </c:pt>
                <c:pt idx="213">
                  <c:v>-0.45808857390636248</c:v>
                </c:pt>
                <c:pt idx="214">
                  <c:v>-0.47427040456175185</c:v>
                </c:pt>
                <c:pt idx="215">
                  <c:v>-0.49050519887407518</c:v>
                </c:pt>
                <c:pt idx="216">
                  <c:v>-0.50679259318766334</c:v>
                </c:pt>
                <c:pt idx="217">
                  <c:v>-0.52313222875998733</c:v>
                </c:pt>
                <c:pt idx="218">
                  <c:v>-0.53952375157445509</c:v>
                </c:pt>
                <c:pt idx="219">
                  <c:v>-0.55596680966583989</c:v>
                </c:pt>
                <c:pt idx="220">
                  <c:v>-0.57246105662811786</c:v>
                </c:pt>
                <c:pt idx="221">
                  <c:v>-0.58900614874147905</c:v>
                </c:pt>
                <c:pt idx="222">
                  <c:v>-0.60560174717570092</c:v>
                </c:pt>
                <c:pt idx="223">
                  <c:v>-0.62224751670350997</c:v>
                </c:pt>
                <c:pt idx="224">
                  <c:v>-0.63894312412218213</c:v>
                </c:pt>
                <c:pt idx="225">
                  <c:v>-0.65568824399086978</c:v>
                </c:pt>
                <c:pt idx="226">
                  <c:v>-0.67248254926744089</c:v>
                </c:pt>
                <c:pt idx="227">
                  <c:v>-0.68932572006378479</c:v>
                </c:pt>
                <c:pt idx="228">
                  <c:v>-0.70621743827936356</c:v>
                </c:pt>
                <c:pt idx="229">
                  <c:v>-0.72315738999911616</c:v>
                </c:pt>
                <c:pt idx="230">
                  <c:v>-0.74014526455241736</c:v>
                </c:pt>
                <c:pt idx="231">
                  <c:v>-0.75718075395097628</c:v>
                </c:pt>
                <c:pt idx="232">
                  <c:v>-0.77426355516092293</c:v>
                </c:pt>
                <c:pt idx="233">
                  <c:v>-0.79139336683071093</c:v>
                </c:pt>
                <c:pt idx="234">
                  <c:v>-0.80856988947374475</c:v>
                </c:pt>
                <c:pt idx="235">
                  <c:v>-0.82579283125431857</c:v>
                </c:pt>
                <c:pt idx="236">
                  <c:v>-0.8430618986104097</c:v>
                </c:pt>
                <c:pt idx="237">
                  <c:v>-0.86037680414553108</c:v>
                </c:pt>
                <c:pt idx="238">
                  <c:v>-0.8777372621058781</c:v>
                </c:pt>
                <c:pt idx="239">
                  <c:v>-0.8951429899926211</c:v>
                </c:pt>
                <c:pt idx="240">
                  <c:v>-0.91259370750995394</c:v>
                </c:pt>
                <c:pt idx="241">
                  <c:v>-0.93008913802203708</c:v>
                </c:pt>
                <c:pt idx="242">
                  <c:v>-0.94762900839508291</c:v>
                </c:pt>
                <c:pt idx="243">
                  <c:v>-0.9652130462658377</c:v>
                </c:pt>
                <c:pt idx="244">
                  <c:v>-0.98284098455752478</c:v>
                </c:pt>
                <c:pt idx="245">
                  <c:v>-1.0005125557477506</c:v>
                </c:pt>
                <c:pt idx="246">
                  <c:v>-1.0182274985963673</c:v>
                </c:pt>
                <c:pt idx="247">
                  <c:v>-1.0359855535537577</c:v>
                </c:pt>
                <c:pt idx="248">
                  <c:v>-1.0537864592484159</c:v>
                </c:pt>
                <c:pt idx="249">
                  <c:v>-1.0716299638797722</c:v>
                </c:pt>
                <c:pt idx="250">
                  <c:v>-1.0895158125579201</c:v>
                </c:pt>
                <c:pt idx="251">
                  <c:v>-1.1074437551579734</c:v>
                </c:pt>
                <c:pt idx="252">
                  <c:v>-1.1254135456070617</c:v>
                </c:pt>
                <c:pt idx="253">
                  <c:v>-1.1434249371835072</c:v>
                </c:pt>
                <c:pt idx="254">
                  <c:v>-1.1614776883016464</c:v>
                </c:pt>
                <c:pt idx="255">
                  <c:v>-1.1795715569951426</c:v>
                </c:pt>
                <c:pt idx="256">
                  <c:v>-1.1977063045509055</c:v>
                </c:pt>
                <c:pt idx="257">
                  <c:v>-1.2158816967982737</c:v>
                </c:pt>
                <c:pt idx="258">
                  <c:v>-1.2340974979818</c:v>
                </c:pt>
                <c:pt idx="259">
                  <c:v>-1.2523534781479384</c:v>
                </c:pt>
                <c:pt idx="260">
                  <c:v>-1.2706494061290865</c:v>
                </c:pt>
                <c:pt idx="261">
                  <c:v>-1.2889850578862436</c:v>
                </c:pt>
                <c:pt idx="262">
                  <c:v>-1.307360206623418</c:v>
                </c:pt>
                <c:pt idx="263">
                  <c:v>-1.3257746291001808</c:v>
                </c:pt>
                <c:pt idx="264">
                  <c:v>-1.3442281045807292</c:v>
                </c:pt>
                <c:pt idx="265">
                  <c:v>-1.3627204157038619</c:v>
                </c:pt>
                <c:pt idx="266">
                  <c:v>-1.3812513445009547</c:v>
                </c:pt>
                <c:pt idx="267">
                  <c:v>-1.3998206762269376</c:v>
                </c:pt>
                <c:pt idx="268">
                  <c:v>-1.4184281987079572</c:v>
                </c:pt>
                <c:pt idx="269">
                  <c:v>-1.4370737009025625</c:v>
                </c:pt>
                <c:pt idx="270">
                  <c:v>-1.4557569763637517</c:v>
                </c:pt>
                <c:pt idx="271">
                  <c:v>-1.4744778132663896</c:v>
                </c:pt>
                <c:pt idx="272">
                  <c:v>-1.4932360112440861</c:v>
                </c:pt>
                <c:pt idx="273">
                  <c:v>-1.5120313652509587</c:v>
                </c:pt>
                <c:pt idx="274">
                  <c:v>-1.5308636749160609</c:v>
                </c:pt>
                <c:pt idx="275">
                  <c:v>-1.5497327380608255</c:v>
                </c:pt>
                <c:pt idx="276">
                  <c:v>-1.5686383600405041</c:v>
                </c:pt>
                <c:pt idx="277">
                  <c:v>-1.587580343910556</c:v>
                </c:pt>
                <c:pt idx="278">
                  <c:v>-1.6065584942360278</c:v>
                </c:pt>
                <c:pt idx="279">
                  <c:v>-1.6255726209843147</c:v>
                </c:pt>
                <c:pt idx="280">
                  <c:v>-1.6446225306300111</c:v>
                </c:pt>
                <c:pt idx="281">
                  <c:v>-1.6637080371991928</c:v>
                </c:pt>
                <c:pt idx="282">
                  <c:v>-1.6828289498552316</c:v>
                </c:pt>
                <c:pt idx="283">
                  <c:v>-1.7019850858967089</c:v>
                </c:pt>
                <c:pt idx="284">
                  <c:v>-1.7211762579033962</c:v>
                </c:pt>
                <c:pt idx="285">
                  <c:v>-1.7404022863242083</c:v>
                </c:pt>
                <c:pt idx="286">
                  <c:v>-1.7596629894022993</c:v>
                </c:pt>
                <c:pt idx="287">
                  <c:v>-1.7789581868199775</c:v>
                </c:pt>
                <c:pt idx="288">
                  <c:v>-1.7982877001883324</c:v>
                </c:pt>
                <c:pt idx="289">
                  <c:v>-1.817651354811769</c:v>
                </c:pt>
                <c:pt idx="290">
                  <c:v>-1.8370489753277361</c:v>
                </c:pt>
                <c:pt idx="291">
                  <c:v>-1.8564803888494552</c:v>
                </c:pt>
                <c:pt idx="292">
                  <c:v>-1.875945420270039</c:v>
                </c:pt>
                <c:pt idx="293">
                  <c:v>-1.8954439046817626</c:v>
                </c:pt>
                <c:pt idx="294">
                  <c:v>-1.880529798874484</c:v>
                </c:pt>
                <c:pt idx="295">
                  <c:v>-1.8614577496958873</c:v>
                </c:pt>
                <c:pt idx="296">
                  <c:v>-1.8424800711840668</c:v>
                </c:pt>
                <c:pt idx="297">
                  <c:v>-1.8235963090901741</c:v>
                </c:pt>
                <c:pt idx="298">
                  <c:v>-1.8048060132266812</c:v>
                </c:pt>
                <c:pt idx="299">
                  <c:v>-1.7861087364579475</c:v>
                </c:pt>
                <c:pt idx="300">
                  <c:v>-1.7675040399098521</c:v>
                </c:pt>
                <c:pt idx="301">
                  <c:v>-1.7489914809713696</c:v>
                </c:pt>
                <c:pt idx="302">
                  <c:v>-1.7305706264026615</c:v>
                </c:pt>
                <c:pt idx="303">
                  <c:v>-1.712241042088408</c:v>
                </c:pt>
                <c:pt idx="304">
                  <c:v>-1.6940023021666661</c:v>
                </c:pt>
                <c:pt idx="305">
                  <c:v>-1.6758539803405128</c:v>
                </c:pt>
                <c:pt idx="306">
                  <c:v>-1.6577956513073744</c:v>
                </c:pt>
                <c:pt idx="307">
                  <c:v>-1.6398269010243567</c:v>
                </c:pt>
                <c:pt idx="308">
                  <c:v>-1.6219473094514782</c:v>
                </c:pt>
                <c:pt idx="309">
                  <c:v>-1.6041564682783616</c:v>
                </c:pt>
                <c:pt idx="310">
                  <c:v>-1.5864539635096513</c:v>
                </c:pt>
                <c:pt idx="311">
                  <c:v>-1.568839393449764</c:v>
                </c:pt>
                <c:pt idx="312">
                  <c:v>-1.5513123513758202</c:v>
                </c:pt>
                <c:pt idx="313">
                  <c:v>-1.5338724392359921</c:v>
                </c:pt>
                <c:pt idx="314">
                  <c:v>-1.5165192603376276</c:v>
                </c:pt>
                <c:pt idx="315">
                  <c:v>-1.4992524188177896</c:v>
                </c:pt>
                <c:pt idx="316">
                  <c:v>-1.482071523358746</c:v>
                </c:pt>
                <c:pt idx="317">
                  <c:v>-1.4649761886798096</c:v>
                </c:pt>
                <c:pt idx="318">
                  <c:v>-1.4479660257431277</c:v>
                </c:pt>
                <c:pt idx="319">
                  <c:v>-1.4310406540244003</c:v>
                </c:pt>
                <c:pt idx="320">
                  <c:v>-1.4141996960039105</c:v>
                </c:pt>
                <c:pt idx="321">
                  <c:v>-1.3974427711574187</c:v>
                </c:pt>
                <c:pt idx="322">
                  <c:v>-1.3807695061201315</c:v>
                </c:pt>
                <c:pt idx="323">
                  <c:v>-1.3641795316186105</c:v>
                </c:pt>
                <c:pt idx="324">
                  <c:v>-1.3476724790505656</c:v>
                </c:pt>
                <c:pt idx="325">
                  <c:v>-1.3312479797240542</c:v>
                </c:pt>
                <c:pt idx="326">
                  <c:v>-1.3149056724642794</c:v>
                </c:pt>
                <c:pt idx="327">
                  <c:v>-1.2986451967199031</c:v>
                </c:pt>
                <c:pt idx="328">
                  <c:v>-1.2824661959352959</c:v>
                </c:pt>
                <c:pt idx="329">
                  <c:v>-1.2663683110859836</c:v>
                </c:pt>
                <c:pt idx="330">
                  <c:v>-1.2503511929494167</c:v>
                </c:pt>
                <c:pt idx="331">
                  <c:v>-1.2344144890150446</c:v>
                </c:pt>
                <c:pt idx="332">
                  <c:v>-1.2185578523874057</c:v>
                </c:pt>
                <c:pt idx="333">
                  <c:v>-1.2027809362355946</c:v>
                </c:pt>
                <c:pt idx="334">
                  <c:v>-1.1870834004269692</c:v>
                </c:pt>
                <c:pt idx="335">
                  <c:v>-1.1714649036163109</c:v>
                </c:pt>
                <c:pt idx="336">
                  <c:v>-1.1559251080515125</c:v>
                </c:pt>
                <c:pt idx="337">
                  <c:v>-1.1404636778611774</c:v>
                </c:pt>
                <c:pt idx="338">
                  <c:v>-1.1250802787260668</c:v>
                </c:pt>
                <c:pt idx="339">
                  <c:v>-1.109774581219547</c:v>
                </c:pt>
                <c:pt idx="340">
                  <c:v>-1.0945462576673819</c:v>
                </c:pt>
                <c:pt idx="341">
                  <c:v>-1.0793949794150173</c:v>
                </c:pt>
                <c:pt idx="342">
                  <c:v>-1.0643204241722817</c:v>
                </c:pt>
                <c:pt idx="343">
                  <c:v>-1.0493222683710002</c:v>
                </c:pt>
                <c:pt idx="344">
                  <c:v>-1.0344001943149728</c:v>
                </c:pt>
                <c:pt idx="345">
                  <c:v>-1.0195538862738651</c:v>
                </c:pt>
                <c:pt idx="346">
                  <c:v>-1.004783023464638</c:v>
                </c:pt>
                <c:pt idx="347">
                  <c:v>-0.99008729858260835</c:v>
                </c:pt>
                <c:pt idx="348">
                  <c:v>-0.97546640001507257</c:v>
                </c:pt>
                <c:pt idx="349">
                  <c:v>-0.96092001781489245</c:v>
                </c:pt>
                <c:pt idx="350">
                  <c:v>-0.94644784442205321</c:v>
                </c:pt>
                <c:pt idx="351">
                  <c:v>-0.93204957739914107</c:v>
                </c:pt>
                <c:pt idx="352">
                  <c:v>-0.9177249128515399</c:v>
                </c:pt>
                <c:pt idx="353">
                  <c:v>-0.90347355237897986</c:v>
                </c:pt>
                <c:pt idx="354">
                  <c:v>-0.88929519489926001</c:v>
                </c:pt>
                <c:pt idx="355">
                  <c:v>-0.87518954615645583</c:v>
                </c:pt>
                <c:pt idx="356">
                  <c:v>-0.86115631134101989</c:v>
                </c:pt>
                <c:pt idx="357">
                  <c:v>-0.84719519645664576</c:v>
                </c:pt>
                <c:pt idx="358">
                  <c:v>-0.83330591617650995</c:v>
                </c:pt>
                <c:pt idx="359">
                  <c:v>-0.81948817530083318</c:v>
                </c:pt>
                <c:pt idx="360">
                  <c:v>-0.80574169161649678</c:v>
                </c:pt>
                <c:pt idx="361">
                  <c:v>-0.79206618145238394</c:v>
                </c:pt>
                <c:pt idx="362">
                  <c:v>-0.77846135633236635</c:v>
                </c:pt>
                <c:pt idx="363">
                  <c:v>-0.76492693893595032</c:v>
                </c:pt>
                <c:pt idx="364">
                  <c:v>-0.75146265434640647</c:v>
                </c:pt>
                <c:pt idx="365">
                  <c:v>-0.73806821924942412</c:v>
                </c:pt>
                <c:pt idx="366">
                  <c:v>-0.72474335680093738</c:v>
                </c:pt>
                <c:pt idx="367">
                  <c:v>-0.71148780013942314</c:v>
                </c:pt>
                <c:pt idx="368">
                  <c:v>-0.69830127382529561</c:v>
                </c:pt>
                <c:pt idx="369">
                  <c:v>-0.68518350827092789</c:v>
                </c:pt>
                <c:pt idx="370">
                  <c:v>-0.67213423333641309</c:v>
                </c:pt>
                <c:pt idx="371">
                  <c:v>-0.65915318486842267</c:v>
                </c:pt>
                <c:pt idx="372">
                  <c:v>-0.64624009709363506</c:v>
                </c:pt>
                <c:pt idx="373">
                  <c:v>-0.63339470670528186</c:v>
                </c:pt>
                <c:pt idx="374">
                  <c:v>-0.62061675122948579</c:v>
                </c:pt>
                <c:pt idx="375">
                  <c:v>-0.60790597364393761</c:v>
                </c:pt>
                <c:pt idx="376">
                  <c:v>-0.59526211201358592</c:v>
                </c:pt>
                <c:pt idx="377">
                  <c:v>-0.58268491462499128</c:v>
                </c:pt>
                <c:pt idx="378">
                  <c:v>-0.57017412165977177</c:v>
                </c:pt>
                <c:pt idx="379">
                  <c:v>-0.5577294838874991</c:v>
                </c:pt>
                <c:pt idx="380">
                  <c:v>-0.54535074762597269</c:v>
                </c:pt>
                <c:pt idx="381">
                  <c:v>-0.53303765965903693</c:v>
                </c:pt>
                <c:pt idx="382">
                  <c:v>-0.52078997643548242</c:v>
                </c:pt>
                <c:pt idx="383">
                  <c:v>-0.50860745160230181</c:v>
                </c:pt>
                <c:pt idx="384">
                  <c:v>-0.49648983336012975</c:v>
                </c:pt>
                <c:pt idx="385">
                  <c:v>-0.48443688479671465</c:v>
                </c:pt>
                <c:pt idx="386">
                  <c:v>-0.47244836042041349</c:v>
                </c:pt>
                <c:pt idx="387">
                  <c:v>-0.46052402019918759</c:v>
                </c:pt>
                <c:pt idx="388">
                  <c:v>-0.44866362165112861</c:v>
                </c:pt>
                <c:pt idx="389">
                  <c:v>-0.43686693149942002</c:v>
                </c:pt>
                <c:pt idx="390">
                  <c:v>-0.42513370871585821</c:v>
                </c:pt>
                <c:pt idx="391">
                  <c:v>-0.41346372132117892</c:v>
                </c:pt>
                <c:pt idx="392">
                  <c:v>-0.40185673727784099</c:v>
                </c:pt>
                <c:pt idx="393">
                  <c:v>-0.39031251824202684</c:v>
                </c:pt>
                <c:pt idx="394">
                  <c:v>-0.3788308395808837</c:v>
                </c:pt>
                <c:pt idx="395">
                  <c:v>-0.367411471250918</c:v>
                </c:pt>
                <c:pt idx="396">
                  <c:v>-0.35605418188362137</c:v>
                </c:pt>
                <c:pt idx="397">
                  <c:v>-0.34475874851891319</c:v>
                </c:pt>
                <c:pt idx="398">
                  <c:v>-0.33352494659459531</c:v>
                </c:pt>
                <c:pt idx="399">
                  <c:v>-0.32235254775301314</c:v>
                </c:pt>
                <c:pt idx="400">
                  <c:v>-0.31124133379609553</c:v>
                </c:pt>
                <c:pt idx="401">
                  <c:v>-0.30019108048511356</c:v>
                </c:pt>
                <c:pt idx="402">
                  <c:v>-0.28920156843948064</c:v>
                </c:pt>
                <c:pt idx="403">
                  <c:v>-0.27827258383041453</c:v>
                </c:pt>
                <c:pt idx="404">
                  <c:v>-0.26740390251574375</c:v>
                </c:pt>
                <c:pt idx="405">
                  <c:v>-0.25659531417818826</c:v>
                </c:pt>
                <c:pt idx="406">
                  <c:v>-0.24584660114616419</c:v>
                </c:pt>
                <c:pt idx="407">
                  <c:v>-0.23515755144325112</c:v>
                </c:pt>
                <c:pt idx="408">
                  <c:v>-0.22452794990321934</c:v>
                </c:pt>
                <c:pt idx="409">
                  <c:v>-0.21395758752476013</c:v>
                </c:pt>
                <c:pt idx="410">
                  <c:v>-0.20344626144737177</c:v>
                </c:pt>
                <c:pt idx="411">
                  <c:v>-0.19299375174816191</c:v>
                </c:pt>
                <c:pt idx="412">
                  <c:v>-0.18259985962884961</c:v>
                </c:pt>
                <c:pt idx="413">
                  <c:v>-0.17226437601887667</c:v>
                </c:pt>
                <c:pt idx="414">
                  <c:v>-0.16198709520766741</c:v>
                </c:pt>
                <c:pt idx="415">
                  <c:v>-0.15176781514804816</c:v>
                </c:pt>
                <c:pt idx="416">
                  <c:v>-0.14160633478174489</c:v>
                </c:pt>
                <c:pt idx="417">
                  <c:v>-0.13150244877873263</c:v>
                </c:pt>
                <c:pt idx="418">
                  <c:v>-0.12145596235769496</c:v>
                </c:pt>
                <c:pt idx="419">
                  <c:v>-0.11146667278048028</c:v>
                </c:pt>
                <c:pt idx="420">
                  <c:v>-0.10153438226054057</c:v>
                </c:pt>
                <c:pt idx="421">
                  <c:v>-9.1658895597898749E-2</c:v>
                </c:pt>
                <c:pt idx="422">
                  <c:v>-8.1840018580585649E-2</c:v>
                </c:pt>
                <c:pt idx="423">
                  <c:v>-7.2077555983341313E-2</c:v>
                </c:pt>
                <c:pt idx="424">
                  <c:v>-6.2371312750153507E-2</c:v>
                </c:pt>
                <c:pt idx="425">
                  <c:v>-5.2721096941731105E-2</c:v>
                </c:pt>
                <c:pt idx="426">
                  <c:v>-4.3126716228684359E-2</c:v>
                </c:pt>
                <c:pt idx="427">
                  <c:v>-3.3587987224031224E-2</c:v>
                </c:pt>
                <c:pt idx="428">
                  <c:v>-2.4104714773814706E-2</c:v>
                </c:pt>
                <c:pt idx="429">
                  <c:v>-1.4676714465462481E-2</c:v>
                </c:pt>
                <c:pt idx="430">
                  <c:v>-5.3037946261529356E-3</c:v>
                </c:pt>
                <c:pt idx="431">
                  <c:v>4.0142272919467814E-3</c:v>
                </c:pt>
                <c:pt idx="432">
                  <c:v>1.32775353489194E-2</c:v>
                </c:pt>
                <c:pt idx="433">
                  <c:v>2.2486313329736163E-2</c:v>
                </c:pt>
                <c:pt idx="434">
                  <c:v>3.1640746580450241E-2</c:v>
                </c:pt>
                <c:pt idx="435">
                  <c:v>4.0741010099026198E-2</c:v>
                </c:pt>
                <c:pt idx="436">
                  <c:v>4.9787295057004854E-2</c:v>
                </c:pt>
                <c:pt idx="437">
                  <c:v>5.8779769753595446E-2</c:v>
                </c:pt>
                <c:pt idx="438">
                  <c:v>6.7718623578873149E-2</c:v>
                </c:pt>
                <c:pt idx="439">
                  <c:v>7.6604025920374852E-2</c:v>
                </c:pt>
                <c:pt idx="440">
                  <c:v>8.5436159685214008E-2</c:v>
                </c:pt>
                <c:pt idx="441">
                  <c:v>9.4215196555708758E-2</c:v>
                </c:pt>
                <c:pt idx="442">
                  <c:v>0.10294130979393934</c:v>
                </c:pt>
                <c:pt idx="443">
                  <c:v>0.11161467977014183</c:v>
                </c:pt>
                <c:pt idx="444">
                  <c:v>0.12023547152444358</c:v>
                </c:pt>
                <c:pt idx="445">
                  <c:v>0.12880386123225307</c:v>
                </c:pt>
                <c:pt idx="446">
                  <c:v>0.13732002381823172</c:v>
                </c:pt>
                <c:pt idx="447">
                  <c:v>0.14578412139337615</c:v>
                </c:pt>
                <c:pt idx="448">
                  <c:v>0.15419632832147379</c:v>
                </c:pt>
                <c:pt idx="449">
                  <c:v>0.16255681092962604</c:v>
                </c:pt>
                <c:pt idx="450">
                  <c:v>0.17086573637239511</c:v>
                </c:pt>
                <c:pt idx="451">
                  <c:v>0.17912327288600238</c:v>
                </c:pt>
                <c:pt idx="452">
                  <c:v>0.18732958083629114</c:v>
                </c:pt>
                <c:pt idx="453">
                  <c:v>0.19548483477126766</c:v>
                </c:pt>
                <c:pt idx="454">
                  <c:v>0.2035891920756594</c:v>
                </c:pt>
                <c:pt idx="455">
                  <c:v>0.21164281454669265</c:v>
                </c:pt>
                <c:pt idx="456">
                  <c:v>0.21964586509560391</c:v>
                </c:pt>
                <c:pt idx="457">
                  <c:v>0.22759850916226299</c:v>
                </c:pt>
                <c:pt idx="458">
                  <c:v>0.23550089938471075</c:v>
                </c:pt>
                <c:pt idx="459">
                  <c:v>0.2433532003579586</c:v>
                </c:pt>
                <c:pt idx="460">
                  <c:v>0.25115557297977453</c:v>
                </c:pt>
                <c:pt idx="461">
                  <c:v>0.25890817107931596</c:v>
                </c:pt>
                <c:pt idx="462">
                  <c:v>0.26661115150228909</c:v>
                </c:pt>
                <c:pt idx="463">
                  <c:v>0.27426467128026388</c:v>
                </c:pt>
                <c:pt idx="464">
                  <c:v>0.28186889101913692</c:v>
                </c:pt>
                <c:pt idx="465">
                  <c:v>0.28942395496713047</c:v>
                </c:pt>
                <c:pt idx="466">
                  <c:v>0.29693002484318498</c:v>
                </c:pt>
                <c:pt idx="467">
                  <c:v>0.30438724993478417</c:v>
                </c:pt>
                <c:pt idx="468">
                  <c:v>0.31179578523872742</c:v>
                </c:pt>
                <c:pt idx="469">
                  <c:v>0.31915577891973967</c:v>
                </c:pt>
                <c:pt idx="470">
                  <c:v>0.3264673872364483</c:v>
                </c:pt>
                <c:pt idx="471">
                  <c:v>0.33373075142546327</c:v>
                </c:pt>
                <c:pt idx="472">
                  <c:v>0.34094602881544844</c:v>
                </c:pt>
                <c:pt idx="473">
                  <c:v>0.34811336335980769</c:v>
                </c:pt>
                <c:pt idx="474">
                  <c:v>0.35523289995107454</c:v>
                </c:pt>
                <c:pt idx="475">
                  <c:v>0.36230478939185673</c:v>
                </c:pt>
                <c:pt idx="476">
                  <c:v>0.36932918169106088</c:v>
                </c:pt>
                <c:pt idx="477">
                  <c:v>0.37630621159900457</c:v>
                </c:pt>
                <c:pt idx="478">
                  <c:v>0.38323603444416499</c:v>
                </c:pt>
                <c:pt idx="479">
                  <c:v>0.39011878489503715</c:v>
                </c:pt>
                <c:pt idx="480">
                  <c:v>0.39695461567362678</c:v>
                </c:pt>
                <c:pt idx="481">
                  <c:v>0.40374365758373898</c:v>
                </c:pt>
                <c:pt idx="482">
                  <c:v>0.41048606432410217</c:v>
                </c:pt>
                <c:pt idx="483">
                  <c:v>0.41718196498471372</c:v>
                </c:pt>
                <c:pt idx="484">
                  <c:v>0.42383150886487364</c:v>
                </c:pt>
                <c:pt idx="485">
                  <c:v>0.43043483568455088</c:v>
                </c:pt>
                <c:pt idx="486">
                  <c:v>0.43699207585022037</c:v>
                </c:pt>
                <c:pt idx="487">
                  <c:v>0.44350337524586791</c:v>
                </c:pt>
                <c:pt idx="488">
                  <c:v>0.44996887091025783</c:v>
                </c:pt>
                <c:pt idx="489">
                  <c:v>0.45638869510936431</c:v>
                </c:pt>
                <c:pt idx="490">
                  <c:v>0.46276298552122341</c:v>
                </c:pt>
                <c:pt idx="491">
                  <c:v>0.46909187989802348</c:v>
                </c:pt>
                <c:pt idx="492">
                  <c:v>0.47537551204228556</c:v>
                </c:pt>
                <c:pt idx="493">
                  <c:v>0.48161401370351697</c:v>
                </c:pt>
                <c:pt idx="494">
                  <c:v>0.48780752460869437</c:v>
                </c:pt>
                <c:pt idx="495">
                  <c:v>0.49395616939338538</c:v>
                </c:pt>
                <c:pt idx="496">
                  <c:v>0.50006008356403875</c:v>
                </c:pt>
                <c:pt idx="497">
                  <c:v>0.50611940254748689</c:v>
                </c:pt>
                <c:pt idx="498">
                  <c:v>0.51213425220766773</c:v>
                </c:pt>
                <c:pt idx="499">
                  <c:v>0.51810476181479714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340-4459-A83F-6A0F15839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1518079"/>
        <c:axId val="1861521823"/>
      </c:scatterChart>
      <c:valAx>
        <c:axId val="1861518079"/>
        <c:scaling>
          <c:orientation val="minMax"/>
          <c:max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1521823"/>
        <c:crosses val="autoZero"/>
        <c:crossBetween val="midCat"/>
      </c:valAx>
      <c:valAx>
        <c:axId val="1861521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15180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780791302543444E-2"/>
          <c:y val="0.15003484869899927"/>
          <c:w val="0.89951814974946509"/>
          <c:h val="0.73234497538018417"/>
        </c:manualLayout>
      </c:layout>
      <c:lineChart>
        <c:grouping val="standard"/>
        <c:varyColors val="0"/>
        <c:ser>
          <c:idx val="0"/>
          <c:order val="0"/>
          <c:tx>
            <c:v>Tree Price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'Tree vs BS (1)'!$A$13:$A$512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</c:numCache>
            </c:numRef>
          </c:cat>
          <c:val>
            <c:numRef>
              <c:f>'Tree vs BS (1)'!$B$13:$B$512</c:f>
              <c:numCache>
                <c:formatCode>General</c:formatCode>
                <c:ptCount val="500"/>
                <c:pt idx="0">
                  <c:v>8.0666874740968932</c:v>
                </c:pt>
                <c:pt idx="1">
                  <c:v>8.5295230958295249</c:v>
                </c:pt>
                <c:pt idx="2">
                  <c:v>8.7017127546174073</c:v>
                </c:pt>
                <c:pt idx="3">
                  <c:v>8.7842872613289025</c:v>
                </c:pt>
                <c:pt idx="4">
                  <c:v>8.8306502489857834</c:v>
                </c:pt>
                <c:pt idx="5">
                  <c:v>8.8595482286186868</c:v>
                </c:pt>
                <c:pt idx="6">
                  <c:v>8.8788910364755989</c:v>
                </c:pt>
                <c:pt idx="7">
                  <c:v>8.8925046860113177</c:v>
                </c:pt>
                <c:pt idx="8">
                  <c:v>8.9024428833902221</c:v>
                </c:pt>
                <c:pt idx="9">
                  <c:v>8.9098996440918565</c:v>
                </c:pt>
                <c:pt idx="10">
                  <c:v>8.915613471445953</c:v>
                </c:pt>
                <c:pt idx="11">
                  <c:v>8.9200639490401787</c:v>
                </c:pt>
                <c:pt idx="12">
                  <c:v>8.9235749619966285</c:v>
                </c:pt>
                <c:pt idx="13">
                  <c:v>8.9263723863040525</c:v>
                </c:pt>
                <c:pt idx="14">
                  <c:v>8.9286180297327498</c:v>
                </c:pt>
                <c:pt idx="15">
                  <c:v>8.9304304716559368</c:v>
                </c:pt>
                <c:pt idx="16">
                  <c:v>8.9318983274012265</c:v>
                </c:pt>
                <c:pt idx="17">
                  <c:v>8.9330889541989418</c:v>
                </c:pt>
                <c:pt idx="18">
                  <c:v>8.9340543189691601</c:v>
                </c:pt>
                <c:pt idx="19">
                  <c:v>8.9348350459998045</c:v>
                </c:pt>
                <c:pt idx="20">
                  <c:v>8.9354632667980063</c:v>
                </c:pt>
                <c:pt idx="21">
                  <c:v>8.9359646634158416</c:v>
                </c:pt>
                <c:pt idx="22">
                  <c:v>8.9363599575541048</c:v>
                </c:pt>
                <c:pt idx="23">
                  <c:v>8.9366660118130437</c:v>
                </c:pt>
                <c:pt idx="24">
                  <c:v>8.9368966549994244</c:v>
                </c:pt>
                <c:pt idx="25">
                  <c:v>8.9370633081606385</c:v>
                </c:pt>
                <c:pt idx="26">
                  <c:v>8.9371754647383064</c:v>
                </c:pt>
                <c:pt idx="27">
                  <c:v>8.9372410625873098</c:v>
                </c:pt>
                <c:pt idx="28">
                  <c:v>8.9372667749182035</c:v>
                </c:pt>
                <c:pt idx="29">
                  <c:v>8.9372582398032687</c:v>
                </c:pt>
                <c:pt idx="30">
                  <c:v>8.9372202426723995</c:v>
                </c:pt>
                <c:pt idx="31">
                  <c:v>8.9371568625058089</c:v>
                </c:pt>
                <c:pt idx="32">
                  <c:v>8.9370715897632103</c:v>
                </c:pt>
                <c:pt idx="33">
                  <c:v>8.9369674221260578</c:v>
                </c:pt>
                <c:pt idx="34">
                  <c:v>8.9368469426963024</c:v>
                </c:pt>
                <c:pt idx="35">
                  <c:v>8.9367123842316598</c:v>
                </c:pt>
                <c:pt idx="36">
                  <c:v>8.9365656821941126</c:v>
                </c:pt>
                <c:pt idx="37">
                  <c:v>8.9364085187686335</c:v>
                </c:pt>
                <c:pt idx="38">
                  <c:v>8.9362423595774931</c:v>
                </c:pt>
                <c:pt idx="39">
                  <c:v>8.9360684844228242</c:v>
                </c:pt>
                <c:pt idx="40">
                  <c:v>8.9358880131497553</c:v>
                </c:pt>
                <c:pt idx="41">
                  <c:v>8.9357019274817464</c:v>
                </c:pt>
                <c:pt idx="42">
                  <c:v>8.9355110895337102</c:v>
                </c:pt>
                <c:pt idx="43">
                  <c:v>8.9353162575518681</c:v>
                </c:pt>
                <c:pt idx="44">
                  <c:v>8.9351180993592862</c:v>
                </c:pt>
                <c:pt idx="45">
                  <c:v>8.93491720385774</c:v>
                </c:pt>
                <c:pt idx="46">
                  <c:v>8.9347140909149125</c:v>
                </c:pt>
                <c:pt idx="47">
                  <c:v>8.9345092198800984</c:v>
                </c:pt>
                <c:pt idx="48">
                  <c:v>8.9343029969359335</c:v>
                </c:pt>
                <c:pt idx="49">
                  <c:v>8.9340957814702904</c:v>
                </c:pt>
                <c:pt idx="50">
                  <c:v>8.9338878916078119</c:v>
                </c:pt>
                <c:pt idx="51">
                  <c:v>8.9336796090196842</c:v>
                </c:pt>
                <c:pt idx="52">
                  <c:v>8.9334711831315516</c:v>
                </c:pt>
                <c:pt idx="53">
                  <c:v>8.933262834789474</c:v>
                </c:pt>
                <c:pt idx="54">
                  <c:v>8.9330547594758087</c:v>
                </c:pt>
                <c:pt idx="55">
                  <c:v>8.9328471301428074</c:v>
                </c:pt>
                <c:pt idx="56">
                  <c:v>8.9326400996836846</c:v>
                </c:pt>
                <c:pt idx="57">
                  <c:v>8.9324338031336037</c:v>
                </c:pt>
                <c:pt idx="58">
                  <c:v>8.9322283595990726</c:v>
                </c:pt>
                <c:pt idx="59">
                  <c:v>8.9320238739636579</c:v>
                </c:pt>
                <c:pt idx="60">
                  <c:v>8.9318204384021307</c:v>
                </c:pt>
                <c:pt idx="61">
                  <c:v>8.9316181337307263</c:v>
                </c:pt>
                <c:pt idx="62">
                  <c:v>8.9314170305892606</c:v>
                </c:pt>
                <c:pt idx="63">
                  <c:v>8.931217190510516</c:v>
                </c:pt>
                <c:pt idx="64">
                  <c:v>8.9310186668616378</c:v>
                </c:pt>
                <c:pt idx="65">
                  <c:v>8.930821505687657</c:v>
                </c:pt>
                <c:pt idx="66">
                  <c:v>8.9306257464684222</c:v>
                </c:pt>
                <c:pt idx="67">
                  <c:v>8.9304314227855883</c:v>
                </c:pt>
                <c:pt idx="68">
                  <c:v>8.930238562929647</c:v>
                </c:pt>
                <c:pt idx="69">
                  <c:v>8.9300471904427337</c:v>
                </c:pt>
                <c:pt idx="70">
                  <c:v>8.9298573245934669</c:v>
                </c:pt>
                <c:pt idx="71">
                  <c:v>8.9296689808224023</c:v>
                </c:pt>
                <c:pt idx="72">
                  <c:v>8.929482171126109</c:v>
                </c:pt>
                <c:pt idx="73">
                  <c:v>8.9292969044162334</c:v>
                </c:pt>
                <c:pt idx="74">
                  <c:v>8.9291131868260099</c:v>
                </c:pt>
                <c:pt idx="75">
                  <c:v>8.9289310220053508</c:v>
                </c:pt>
                <c:pt idx="76">
                  <c:v>8.9287504113683216</c:v>
                </c:pt>
                <c:pt idx="77">
                  <c:v>8.9285713543344887</c:v>
                </c:pt>
                <c:pt idx="78">
                  <c:v>8.9283938485340553</c:v>
                </c:pt>
                <c:pt idx="79">
                  <c:v>8.928217889996457</c:v>
                </c:pt>
                <c:pt idx="80">
                  <c:v>8.9280434733194838</c:v>
                </c:pt>
                <c:pt idx="81">
                  <c:v>8.9278705918314039</c:v>
                </c:pt>
                <c:pt idx="82">
                  <c:v>8.9276992377243705</c:v>
                </c:pt>
                <c:pt idx="83">
                  <c:v>8.9275294021783846</c:v>
                </c:pt>
                <c:pt idx="84">
                  <c:v>8.9273610754873953</c:v>
                </c:pt>
                <c:pt idx="85">
                  <c:v>8.9271942471499628</c:v>
                </c:pt>
                <c:pt idx="86">
                  <c:v>8.9270289059730512</c:v>
                </c:pt>
                <c:pt idx="87">
                  <c:v>8.9268650401508065</c:v>
                </c:pt>
                <c:pt idx="88">
                  <c:v>8.9267026373456506</c:v>
                </c:pt>
                <c:pt idx="89">
                  <c:v>8.9265416847568613</c:v>
                </c:pt>
                <c:pt idx="90">
                  <c:v>8.9263821691820215</c:v>
                </c:pt>
                <c:pt idx="91">
                  <c:v>8.9262240770783166</c:v>
                </c:pt>
                <c:pt idx="92">
                  <c:v>8.9260673946137192</c:v>
                </c:pt>
                <c:pt idx="93">
                  <c:v>8.9259121077120778</c:v>
                </c:pt>
                <c:pt idx="94">
                  <c:v>8.9257582020945634</c:v>
                </c:pt>
                <c:pt idx="95">
                  <c:v>8.9256056633213436</c:v>
                </c:pt>
                <c:pt idx="96">
                  <c:v>8.925454476830911</c:v>
                </c:pt>
                <c:pt idx="97">
                  <c:v>8.9253046279588748</c:v>
                </c:pt>
                <c:pt idx="98">
                  <c:v>8.925156101982509</c:v>
                </c:pt>
                <c:pt idx="99">
                  <c:v>8.9250088841286548</c:v>
                </c:pt>
                <c:pt idx="100">
                  <c:v>8.9248629596174549</c:v>
                </c:pt>
                <c:pt idx="101">
                  <c:v>8.9247183136637105</c:v>
                </c:pt>
                <c:pt idx="102">
                  <c:v>8.9245749315129732</c:v>
                </c:pt>
                <c:pt idx="103">
                  <c:v>8.9244327984412539</c:v>
                </c:pt>
                <c:pt idx="104">
                  <c:v>8.9242918997900098</c:v>
                </c:pt>
                <c:pt idx="105">
                  <c:v>8.9241522209623625</c:v>
                </c:pt>
                <c:pt idx="106">
                  <c:v>8.9240137474446399</c:v>
                </c:pt>
                <c:pt idx="107">
                  <c:v>8.9238764648160416</c:v>
                </c:pt>
                <c:pt idx="108">
                  <c:v>8.9237403587552411</c:v>
                </c:pt>
                <c:pt idx="109">
                  <c:v>8.9236054150550572</c:v>
                </c:pt>
                <c:pt idx="110">
                  <c:v>8.9234716196220134</c:v>
                </c:pt>
                <c:pt idx="111">
                  <c:v>8.9233389584893335</c:v>
                </c:pt>
                <c:pt idx="112">
                  <c:v>8.9232074178274736</c:v>
                </c:pt>
                <c:pt idx="113">
                  <c:v>8.923076983929656</c:v>
                </c:pt>
                <c:pt idx="114">
                  <c:v>8.9229476432459442</c:v>
                </c:pt>
                <c:pt idx="115">
                  <c:v>8.9228193823532429</c:v>
                </c:pt>
                <c:pt idx="116">
                  <c:v>8.9226921879951</c:v>
                </c:pt>
                <c:pt idx="117">
                  <c:v>8.9225660470464803</c:v>
                </c:pt>
                <c:pt idx="118">
                  <c:v>8.9224409465520491</c:v>
                </c:pt>
                <c:pt idx="119">
                  <c:v>8.9223168736979215</c:v>
                </c:pt>
                <c:pt idx="120">
                  <c:v>8.9221938158371508</c:v>
                </c:pt>
                <c:pt idx="121">
                  <c:v>8.9220717604725728</c:v>
                </c:pt>
                <c:pt idx="122">
                  <c:v>8.9219506952664425</c:v>
                </c:pt>
                <c:pt idx="123">
                  <c:v>8.9218306080443224</c:v>
                </c:pt>
                <c:pt idx="124">
                  <c:v>8.9217114867854335</c:v>
                </c:pt>
                <c:pt idx="125">
                  <c:v>8.9215933196275898</c:v>
                </c:pt>
                <c:pt idx="126">
                  <c:v>8.9214760948700071</c:v>
                </c:pt>
                <c:pt idx="127">
                  <c:v>8.9213598009725139</c:v>
                </c:pt>
                <c:pt idx="128">
                  <c:v>8.9212444265459379</c:v>
                </c:pt>
                <c:pt idx="129">
                  <c:v>8.9211299603603678</c:v>
                </c:pt>
                <c:pt idx="130">
                  <c:v>8.9210163913465745</c:v>
                </c:pt>
                <c:pt idx="131">
                  <c:v>8.9209037085815091</c:v>
                </c:pt>
                <c:pt idx="132">
                  <c:v>8.9207919013023886</c:v>
                </c:pt>
                <c:pt idx="133">
                  <c:v>8.9206809588983429</c:v>
                </c:pt>
                <c:pt idx="134">
                  <c:v>8.9205708709031448</c:v>
                </c:pt>
                <c:pt idx="135">
                  <c:v>8.9204616270109511</c:v>
                </c:pt>
                <c:pt idx="136">
                  <c:v>8.9203532170523463</c:v>
                </c:pt>
                <c:pt idx="137">
                  <c:v>8.9202456310164351</c:v>
                </c:pt>
                <c:pt idx="138">
                  <c:v>8.9201388590310078</c:v>
                </c:pt>
                <c:pt idx="139">
                  <c:v>8.9200328913616787</c:v>
                </c:pt>
                <c:pt idx="140">
                  <c:v>8.9199277184253951</c:v>
                </c:pt>
                <c:pt idx="141">
                  <c:v>8.9198233307795824</c:v>
                </c:pt>
                <c:pt idx="142">
                  <c:v>8.9197197191052169</c:v>
                </c:pt>
                <c:pt idx="143">
                  <c:v>8.9196168742406545</c:v>
                </c:pt>
                <c:pt idx="144">
                  <c:v>8.9195147871386062</c:v>
                </c:pt>
                <c:pt idx="145">
                  <c:v>8.9194134489003538</c:v>
                </c:pt>
                <c:pt idx="146">
                  <c:v>8.9193128507482928</c:v>
                </c:pt>
                <c:pt idx="147">
                  <c:v>8.9192129840401169</c:v>
                </c:pt>
                <c:pt idx="148">
                  <c:v>8.9191138402550987</c:v>
                </c:pt>
                <c:pt idx="149">
                  <c:v>8.9190154110012578</c:v>
                </c:pt>
                <c:pt idx="150">
                  <c:v>8.9189176880119501</c:v>
                </c:pt>
                <c:pt idx="151">
                  <c:v>8.9188206631409077</c:v>
                </c:pt>
                <c:pt idx="152">
                  <c:v>8.9187243283556832</c:v>
                </c:pt>
                <c:pt idx="153">
                  <c:v>8.918628675748419</c:v>
                </c:pt>
                <c:pt idx="154">
                  <c:v>8.9185336975287708</c:v>
                </c:pt>
                <c:pt idx="155">
                  <c:v>8.9184393860187967</c:v>
                </c:pt>
                <c:pt idx="156">
                  <c:v>8.9183457336529788</c:v>
                </c:pt>
                <c:pt idx="157">
                  <c:v>8.9182527329764962</c:v>
                </c:pt>
                <c:pt idx="158">
                  <c:v>8.9181603766398929</c:v>
                </c:pt>
                <c:pt idx="159">
                  <c:v>8.918068657411256</c:v>
                </c:pt>
                <c:pt idx="160">
                  <c:v>8.917977568152951</c:v>
                </c:pt>
                <c:pt idx="161">
                  <c:v>8.9178871018438723</c:v>
                </c:pt>
                <c:pt idx="162">
                  <c:v>8.9177972515532336</c:v>
                </c:pt>
                <c:pt idx="163">
                  <c:v>8.9177080104613751</c:v>
                </c:pt>
                <c:pt idx="164">
                  <c:v>8.9176193718393293</c:v>
                </c:pt>
                <c:pt idx="165">
                  <c:v>8.9175313290555032</c:v>
                </c:pt>
                <c:pt idx="166">
                  <c:v>8.9174438755870771</c:v>
                </c:pt>
                <c:pt idx="167">
                  <c:v>8.9173570049908282</c:v>
                </c:pt>
                <c:pt idx="168">
                  <c:v>8.9172707109228391</c:v>
                </c:pt>
                <c:pt idx="169">
                  <c:v>8.9171849871315754</c:v>
                </c:pt>
                <c:pt idx="170">
                  <c:v>8.9170998274496913</c:v>
                </c:pt>
                <c:pt idx="171">
                  <c:v>8.9170152258075888</c:v>
                </c:pt>
                <c:pt idx="172">
                  <c:v>8.9169311762103458</c:v>
                </c:pt>
                <c:pt idx="173">
                  <c:v>8.9168476727598556</c:v>
                </c:pt>
                <c:pt idx="174">
                  <c:v>8.9167647096383451</c:v>
                </c:pt>
                <c:pt idx="175">
                  <c:v>8.9166822811043858</c:v>
                </c:pt>
                <c:pt idx="176">
                  <c:v>8.9166003815056722</c:v>
                </c:pt>
                <c:pt idx="177">
                  <c:v>8.9165190052696843</c:v>
                </c:pt>
                <c:pt idx="178">
                  <c:v>8.9164381469020899</c:v>
                </c:pt>
                <c:pt idx="179">
                  <c:v>8.9163578009759288</c:v>
                </c:pt>
                <c:pt idx="180">
                  <c:v>8.9162779621534689</c:v>
                </c:pt>
                <c:pt idx="181">
                  <c:v>8.9161986251646983</c:v>
                </c:pt>
                <c:pt idx="182">
                  <c:v>8.9161197848133558</c:v>
                </c:pt>
                <c:pt idx="183">
                  <c:v>8.9160414359842814</c:v>
                </c:pt>
                <c:pt idx="184">
                  <c:v>8.9159635736189617</c:v>
                </c:pt>
                <c:pt idx="185">
                  <c:v>8.9158861927387996</c:v>
                </c:pt>
                <c:pt idx="186">
                  <c:v>8.9158092884346765</c:v>
                </c:pt>
                <c:pt idx="187">
                  <c:v>8.9157328558546372</c:v>
                </c:pt>
                <c:pt idx="188">
                  <c:v>8.9156568902274671</c:v>
                </c:pt>
                <c:pt idx="189">
                  <c:v>8.9155813868334004</c:v>
                </c:pt>
                <c:pt idx="190">
                  <c:v>8.9155063410326552</c:v>
                </c:pt>
                <c:pt idx="191">
                  <c:v>8.9154317482300662</c:v>
                </c:pt>
                <c:pt idx="192">
                  <c:v>8.9153576039083333</c:v>
                </c:pt>
                <c:pt idx="193">
                  <c:v>8.9152839036086355</c:v>
                </c:pt>
                <c:pt idx="194">
                  <c:v>8.9152106429210232</c:v>
                </c:pt>
                <c:pt idx="195">
                  <c:v>8.9151378175134042</c:v>
                </c:pt>
                <c:pt idx="196">
                  <c:v>8.915065423090585</c:v>
                </c:pt>
                <c:pt idx="197">
                  <c:v>8.9149934554338941</c:v>
                </c:pt>
                <c:pt idx="198">
                  <c:v>8.9149219103768438</c:v>
                </c:pt>
                <c:pt idx="199">
                  <c:v>8.9148507837939039</c:v>
                </c:pt>
                <c:pt idx="200">
                  <c:v>8.9147800716324888</c:v>
                </c:pt>
                <c:pt idx="201">
                  <c:v>8.9147097698801225</c:v>
                </c:pt>
                <c:pt idx="202">
                  <c:v>8.914639874589378</c:v>
                </c:pt>
                <c:pt idx="203">
                  <c:v>8.9145703818569082</c:v>
                </c:pt>
                <c:pt idx="204">
                  <c:v>8.9145012878305607</c:v>
                </c:pt>
                <c:pt idx="205">
                  <c:v>8.914432588714984</c:v>
                </c:pt>
                <c:pt idx="206">
                  <c:v>8.9143642807504602</c:v>
                </c:pt>
                <c:pt idx="207">
                  <c:v>8.9142963602437764</c:v>
                </c:pt>
                <c:pt idx="208">
                  <c:v>8.914228823540757</c:v>
                </c:pt>
                <c:pt idx="209">
                  <c:v>8.9141616670289068</c:v>
                </c:pt>
                <c:pt idx="210">
                  <c:v>8.9140948871476855</c:v>
                </c:pt>
                <c:pt idx="211">
                  <c:v>8.9140284803887795</c:v>
                </c:pt>
                <c:pt idx="212">
                  <c:v>8.9139624432740536</c:v>
                </c:pt>
                <c:pt idx="213">
                  <c:v>8.9138967723905527</c:v>
                </c:pt>
                <c:pt idx="214">
                  <c:v>8.9138314643447725</c:v>
                </c:pt>
                <c:pt idx="215">
                  <c:v>8.9137665158010044</c:v>
                </c:pt>
                <c:pt idx="216">
                  <c:v>8.9137019234650072</c:v>
                </c:pt>
                <c:pt idx="217">
                  <c:v>8.913637684080447</c:v>
                </c:pt>
                <c:pt idx="218">
                  <c:v>8.9135737944288866</c:v>
                </c:pt>
                <c:pt idx="219">
                  <c:v>8.9135102513410818</c:v>
                </c:pt>
                <c:pt idx="220">
                  <c:v>8.9134470516799951</c:v>
                </c:pt>
                <c:pt idx="221">
                  <c:v>8.9133841923530124</c:v>
                </c:pt>
                <c:pt idx="222">
                  <c:v>8.913321670301066</c:v>
                </c:pt>
                <c:pt idx="223">
                  <c:v>8.91325948250363</c:v>
                </c:pt>
                <c:pt idx="224">
                  <c:v>8.9131976259848784</c:v>
                </c:pt>
                <c:pt idx="225">
                  <c:v>8.9131360977873104</c:v>
                </c:pt>
                <c:pt idx="226">
                  <c:v>8.9130748950125938</c:v>
                </c:pt>
                <c:pt idx="227">
                  <c:v>8.9130140147818668</c:v>
                </c:pt>
                <c:pt idx="228">
                  <c:v>8.9129534542587479</c:v>
                </c:pt>
                <c:pt idx="229">
                  <c:v>8.9128932106379857</c:v>
                </c:pt>
                <c:pt idx="230">
                  <c:v>8.9128332811488598</c:v>
                </c:pt>
                <c:pt idx="231">
                  <c:v>8.9127736630568588</c:v>
                </c:pt>
                <c:pt idx="232">
                  <c:v>8.9127143536531523</c:v>
                </c:pt>
                <c:pt idx="233">
                  <c:v>8.9126553502680252</c:v>
                </c:pt>
                <c:pt idx="234">
                  <c:v>8.9125966502692684</c:v>
                </c:pt>
                <c:pt idx="235">
                  <c:v>8.9125382510368674</c:v>
                </c:pt>
                <c:pt idx="236">
                  <c:v>8.9124801500023114</c:v>
                </c:pt>
                <c:pt idx="237">
                  <c:v>8.9124223446143525</c:v>
                </c:pt>
                <c:pt idx="238">
                  <c:v>8.9123648323575679</c:v>
                </c:pt>
                <c:pt idx="239">
                  <c:v>8.9123076107448966</c:v>
                </c:pt>
                <c:pt idx="240">
                  <c:v>8.9122506773214152</c:v>
                </c:pt>
                <c:pt idx="241">
                  <c:v>8.9121940296576536</c:v>
                </c:pt>
                <c:pt idx="242">
                  <c:v>8.9121376653497215</c:v>
                </c:pt>
                <c:pt idx="243">
                  <c:v>8.9120815820299786</c:v>
                </c:pt>
                <c:pt idx="244">
                  <c:v>8.9120257773478624</c:v>
                </c:pt>
                <c:pt idx="245">
                  <c:v>8.9119702489928425</c:v>
                </c:pt>
                <c:pt idx="246">
                  <c:v>8.9119149946663718</c:v>
                </c:pt>
                <c:pt idx="247">
                  <c:v>8.9118600121001599</c:v>
                </c:pt>
                <c:pt idx="248">
                  <c:v>8.9118052990696714</c:v>
                </c:pt>
                <c:pt idx="249">
                  <c:v>8.9117508533476801</c:v>
                </c:pt>
                <c:pt idx="250">
                  <c:v>8.9116966727547613</c:v>
                </c:pt>
                <c:pt idx="251">
                  <c:v>8.9116427551271755</c:v>
                </c:pt>
                <c:pt idx="252">
                  <c:v>8.9115890983193768</c:v>
                </c:pt>
                <c:pt idx="253">
                  <c:v>8.9115357002221618</c:v>
                </c:pt>
                <c:pt idx="254">
                  <c:v>8.9114825587392712</c:v>
                </c:pt>
                <c:pt idx="255">
                  <c:v>8.9114296718086869</c:v>
                </c:pt>
                <c:pt idx="256">
                  <c:v>8.9113770373878261</c:v>
                </c:pt>
                <c:pt idx="257">
                  <c:v>8.9113246534481672</c:v>
                </c:pt>
                <c:pt idx="258">
                  <c:v>8.9112725179986363</c:v>
                </c:pt>
                <c:pt idx="259">
                  <c:v>8.9112206290564764</c:v>
                </c:pt>
                <c:pt idx="260">
                  <c:v>8.911168984673969</c:v>
                </c:pt>
                <c:pt idx="261">
                  <c:v>8.9111175829059235</c:v>
                </c:pt>
                <c:pt idx="262">
                  <c:v>8.9110664218472166</c:v>
                </c:pt>
                <c:pt idx="263">
                  <c:v>8.9110154996081228</c:v>
                </c:pt>
                <c:pt idx="264">
                  <c:v>8.9109648143179889</c:v>
                </c:pt>
                <c:pt idx="265">
                  <c:v>8.9109143641216058</c:v>
                </c:pt>
                <c:pt idx="266">
                  <c:v>8.9108641471938324</c:v>
                </c:pt>
                <c:pt idx="267">
                  <c:v>8.9108141617247405</c:v>
                </c:pt>
                <c:pt idx="268">
                  <c:v>8.910764405921757</c:v>
                </c:pt>
                <c:pt idx="269">
                  <c:v>8.9107148780146712</c:v>
                </c:pt>
                <c:pt idx="270">
                  <c:v>8.9106655762424474</c:v>
                </c:pt>
                <c:pt idx="271">
                  <c:v>8.9106164988897198</c:v>
                </c:pt>
                <c:pt idx="272">
                  <c:v>8.9105676442242832</c:v>
                </c:pt>
                <c:pt idx="273">
                  <c:v>8.9105190105562979</c:v>
                </c:pt>
                <c:pt idx="274">
                  <c:v>8.9104705962035045</c:v>
                </c:pt>
                <c:pt idx="275">
                  <c:v>8.910422399514573</c:v>
                </c:pt>
                <c:pt idx="276">
                  <c:v>8.910374418834822</c:v>
                </c:pt>
                <c:pt idx="277">
                  <c:v>8.9103266525416505</c:v>
                </c:pt>
                <c:pt idx="278">
                  <c:v>8.9102790990303102</c:v>
                </c:pt>
                <c:pt idx="279">
                  <c:v>8.9102317566996838</c:v>
                </c:pt>
                <c:pt idx="280">
                  <c:v>8.9101846239838753</c:v>
                </c:pt>
                <c:pt idx="281">
                  <c:v>8.9101376993124219</c:v>
                </c:pt>
                <c:pt idx="282">
                  <c:v>8.9100909811542408</c:v>
                </c:pt>
                <c:pt idx="283">
                  <c:v>8.9100444679711686</c:v>
                </c:pt>
                <c:pt idx="284">
                  <c:v>8.9099981582631873</c:v>
                </c:pt>
                <c:pt idx="285">
                  <c:v>8.9099520505237439</c:v>
                </c:pt>
                <c:pt idx="286">
                  <c:v>8.9099061432749682</c:v>
                </c:pt>
                <c:pt idx="287">
                  <c:v>8.9098604350545187</c:v>
                </c:pt>
                <c:pt idx="288">
                  <c:v>8.9098149244136202</c:v>
                </c:pt>
                <c:pt idx="289">
                  <c:v>8.9097696099107448</c:v>
                </c:pt>
                <c:pt idx="290">
                  <c:v>8.9097244901264716</c:v>
                </c:pt>
                <c:pt idx="291">
                  <c:v>8.9096795636523449</c:v>
                </c:pt>
                <c:pt idx="292">
                  <c:v>8.9096348291067144</c:v>
                </c:pt>
                <c:pt idx="293">
                  <c:v>8.9095902850920368</c:v>
                </c:pt>
                <c:pt idx="294">
                  <c:v>8.9096626959188789</c:v>
                </c:pt>
                <c:pt idx="295">
                  <c:v>8.9097486645893618</c:v>
                </c:pt>
                <c:pt idx="296">
                  <c:v>8.9098337365998859</c:v>
                </c:pt>
                <c:pt idx="297">
                  <c:v>8.9099179225015543</c:v>
                </c:pt>
                <c:pt idx="298">
                  <c:v>8.9100012326907354</c:v>
                </c:pt>
                <c:pt idx="299">
                  <c:v>8.9100836774150061</c:v>
                </c:pt>
                <c:pt idx="300">
                  <c:v>8.910165266758316</c:v>
                </c:pt>
                <c:pt idx="301">
                  <c:v>8.9102460106834265</c:v>
                </c:pt>
                <c:pt idx="302">
                  <c:v>8.9103259189906492</c:v>
                </c:pt>
                <c:pt idx="303">
                  <c:v>8.9104050013542242</c:v>
                </c:pt>
                <c:pt idx="304">
                  <c:v>8.9104832672944561</c:v>
                </c:pt>
                <c:pt idx="305">
                  <c:v>8.9105607262086224</c:v>
                </c:pt>
                <c:pt idx="306">
                  <c:v>8.9106373873683218</c:v>
                </c:pt>
                <c:pt idx="307">
                  <c:v>8.9107132598881851</c:v>
                </c:pt>
                <c:pt idx="308">
                  <c:v>8.9107883527842624</c:v>
                </c:pt>
                <c:pt idx="309">
                  <c:v>8.9108626749184303</c:v>
                </c:pt>
                <c:pt idx="310">
                  <c:v>8.9109362350568659</c:v>
                </c:pt>
                <c:pt idx="311">
                  <c:v>8.9110090418139372</c:v>
                </c:pt>
                <c:pt idx="312">
                  <c:v>8.9110811037099857</c:v>
                </c:pt>
                <c:pt idx="313">
                  <c:v>8.9111524291291992</c:v>
                </c:pt>
                <c:pt idx="314">
                  <c:v>8.9112230263449845</c:v>
                </c:pt>
                <c:pt idx="315">
                  <c:v>8.9112929035233961</c:v>
                </c:pt>
                <c:pt idx="316">
                  <c:v>8.9113620687131085</c:v>
                </c:pt>
                <c:pt idx="317">
                  <c:v>8.9114305298425709</c:v>
                </c:pt>
                <c:pt idx="318">
                  <c:v>8.9114982947525938</c:v>
                </c:pt>
                <c:pt idx="319">
                  <c:v>8.911565371159373</c:v>
                </c:pt>
                <c:pt idx="320">
                  <c:v>8.911631766673592</c:v>
                </c:pt>
                <c:pt idx="321">
                  <c:v>8.9116974888207228</c:v>
                </c:pt>
                <c:pt idx="322">
                  <c:v>8.9117625450108768</c:v>
                </c:pt>
                <c:pt idx="323">
                  <c:v>8.9118269425500554</c:v>
                </c:pt>
                <c:pt idx="324">
                  <c:v>8.9118906886522744</c:v>
                </c:pt>
                <c:pt idx="325">
                  <c:v>8.9119537904433095</c:v>
                </c:pt>
                <c:pt idx="326">
                  <c:v>8.9120162549387825</c:v>
                </c:pt>
                <c:pt idx="327">
                  <c:v>8.9120780890668581</c:v>
                </c:pt>
                <c:pt idx="328">
                  <c:v>8.9121392996593229</c:v>
                </c:pt>
                <c:pt idx="329">
                  <c:v>8.9121998934726356</c:v>
                </c:pt>
                <c:pt idx="330">
                  <c:v>8.9122598771519925</c:v>
                </c:pt>
                <c:pt idx="331">
                  <c:v>8.912319257272431</c:v>
                </c:pt>
                <c:pt idx="332">
                  <c:v>8.912378040313147</c:v>
                </c:pt>
                <c:pt idx="333">
                  <c:v>8.9124362326755477</c:v>
                </c:pt>
                <c:pt idx="334">
                  <c:v>8.9124938406646113</c:v>
                </c:pt>
                <c:pt idx="335">
                  <c:v>8.912550870513865</c:v>
                </c:pt>
                <c:pt idx="336">
                  <c:v>8.9126073283721858</c:v>
                </c:pt>
                <c:pt idx="337">
                  <c:v>8.9126632203101188</c:v>
                </c:pt>
                <c:pt idx="338">
                  <c:v>8.9127185523220014</c:v>
                </c:pt>
                <c:pt idx="339">
                  <c:v>8.9127733303172594</c:v>
                </c:pt>
                <c:pt idx="340">
                  <c:v>8.9128275601308609</c:v>
                </c:pt>
                <c:pt idx="341">
                  <c:v>8.9128812475323951</c:v>
                </c:pt>
                <c:pt idx="342">
                  <c:v>8.9129343982056124</c:v>
                </c:pt>
                <c:pt idx="343">
                  <c:v>8.9129870177718882</c:v>
                </c:pt>
                <c:pt idx="344">
                  <c:v>8.9130391117704022</c:v>
                </c:pt>
                <c:pt idx="345">
                  <c:v>8.9130906856706158</c:v>
                </c:pt>
                <c:pt idx="346">
                  <c:v>8.9131417448935029</c:v>
                </c:pt>
                <c:pt idx="347">
                  <c:v>8.9131922947589963</c:v>
                </c:pt>
                <c:pt idx="348">
                  <c:v>8.9132423405383996</c:v>
                </c:pt>
                <c:pt idx="349">
                  <c:v>8.9132918874380138</c:v>
                </c:pt>
                <c:pt idx="350">
                  <c:v>8.9133409405980082</c:v>
                </c:pt>
                <c:pt idx="351">
                  <c:v>8.913389505085588</c:v>
                </c:pt>
                <c:pt idx="352">
                  <c:v>8.9134375859146679</c:v>
                </c:pt>
                <c:pt idx="353">
                  <c:v>8.9134851880269874</c:v>
                </c:pt>
                <c:pt idx="354">
                  <c:v>8.9135323163161591</c:v>
                </c:pt>
                <c:pt idx="355">
                  <c:v>8.9135789756016361</c:v>
                </c:pt>
                <c:pt idx="356">
                  <c:v>8.9136251706504233</c:v>
                </c:pt>
                <c:pt idx="357">
                  <c:v>8.9136709061739907</c:v>
                </c:pt>
                <c:pt idx="358">
                  <c:v>8.9137161868071644</c:v>
                </c:pt>
                <c:pt idx="359">
                  <c:v>8.9137610171606969</c:v>
                </c:pt>
                <c:pt idx="360">
                  <c:v>8.9138054017582782</c:v>
                </c:pt>
                <c:pt idx="361">
                  <c:v>8.9138493450776402</c:v>
                </c:pt>
                <c:pt idx="362">
                  <c:v>8.9138928515604103</c:v>
                </c:pt>
                <c:pt idx="363">
                  <c:v>8.9139359255687598</c:v>
                </c:pt>
                <c:pt idx="364">
                  <c:v>8.9139785714104693</c:v>
                </c:pt>
                <c:pt idx="365">
                  <c:v>8.9140207933691844</c:v>
                </c:pt>
                <c:pt idx="366">
                  <c:v>8.9140625956642321</c:v>
                </c:pt>
                <c:pt idx="367">
                  <c:v>8.9141039824419508</c:v>
                </c:pt>
                <c:pt idx="368">
                  <c:v>8.9141449578269789</c:v>
                </c:pt>
                <c:pt idx="369">
                  <c:v>8.9141855258835481</c:v>
                </c:pt>
                <c:pt idx="370">
                  <c:v>8.9142256906335593</c:v>
                </c:pt>
                <c:pt idx="371">
                  <c:v>8.9142654560395744</c:v>
                </c:pt>
                <c:pt idx="372">
                  <c:v>8.9143048260260045</c:v>
                </c:pt>
                <c:pt idx="373">
                  <c:v>8.9143438044686931</c:v>
                </c:pt>
                <c:pt idx="374">
                  <c:v>8.9143823951999206</c:v>
                </c:pt>
                <c:pt idx="375">
                  <c:v>8.9144206019966994</c:v>
                </c:pt>
                <c:pt idx="376">
                  <c:v>8.9144584286089987</c:v>
                </c:pt>
                <c:pt idx="377">
                  <c:v>8.9144958787200643</c:v>
                </c:pt>
                <c:pt idx="378">
                  <c:v>8.9145329559956537</c:v>
                </c:pt>
                <c:pt idx="379">
                  <c:v>8.9145696640350742</c:v>
                </c:pt>
                <c:pt idx="380">
                  <c:v>8.91460600641153</c:v>
                </c:pt>
                <c:pt idx="381">
                  <c:v>8.9146419866595892</c:v>
                </c:pt>
                <c:pt idx="382">
                  <c:v>8.9146776082516705</c:v>
                </c:pt>
                <c:pt idx="383">
                  <c:v>8.9147128746313182</c:v>
                </c:pt>
                <c:pt idx="384">
                  <c:v>8.9147477892204456</c:v>
                </c:pt>
                <c:pt idx="385">
                  <c:v>8.9147823553669383</c:v>
                </c:pt>
                <c:pt idx="386">
                  <c:v>8.9148165764062473</c:v>
                </c:pt>
                <c:pt idx="387">
                  <c:v>8.9148504556253663</c:v>
                </c:pt>
                <c:pt idx="388">
                  <c:v>8.9148839962837876</c:v>
                </c:pt>
                <c:pt idx="389">
                  <c:v>8.9149172015839699</c:v>
                </c:pt>
                <c:pt idx="390">
                  <c:v>8.9149500747154349</c:v>
                </c:pt>
                <c:pt idx="391">
                  <c:v>8.9149826188120738</c:v>
                </c:pt>
                <c:pt idx="392">
                  <c:v>8.9150148369760291</c:v>
                </c:pt>
                <c:pt idx="393">
                  <c:v>8.9150467322939555</c:v>
                </c:pt>
                <c:pt idx="394">
                  <c:v>8.9150783077865388</c:v>
                </c:pt>
                <c:pt idx="395">
                  <c:v>8.9151095664576161</c:v>
                </c:pt>
                <c:pt idx="396">
                  <c:v>8.9151405112840969</c:v>
                </c:pt>
                <c:pt idx="397">
                  <c:v>8.9151711451918452</c:v>
                </c:pt>
                <c:pt idx="398">
                  <c:v>8.9152014710814083</c:v>
                </c:pt>
                <c:pt idx="399">
                  <c:v>8.9152314918338167</c:v>
                </c:pt>
                <c:pt idx="400">
                  <c:v>8.9152612102760269</c:v>
                </c:pt>
                <c:pt idx="401">
                  <c:v>8.915290629221893</c:v>
                </c:pt>
                <c:pt idx="402">
                  <c:v>8.9153197514452849</c:v>
                </c:pt>
                <c:pt idx="403">
                  <c:v>8.9153485796788665</c:v>
                </c:pt>
                <c:pt idx="404">
                  <c:v>8.9153771166537776</c:v>
                </c:pt>
                <c:pt idx="405">
                  <c:v>8.9154053650401988</c:v>
                </c:pt>
                <c:pt idx="406">
                  <c:v>8.9154333275001374</c:v>
                </c:pt>
                <c:pt idx="407">
                  <c:v>8.9154610066555442</c:v>
                </c:pt>
                <c:pt idx="408">
                  <c:v>8.9154884051105263</c:v>
                </c:pt>
                <c:pt idx="409">
                  <c:v>8.9155155254287486</c:v>
                </c:pt>
                <c:pt idx="410">
                  <c:v>8.9155423701339842</c:v>
                </c:pt>
                <c:pt idx="411">
                  <c:v>8.9155689417669173</c:v>
                </c:pt>
                <c:pt idx="412">
                  <c:v>8.9155952427924756</c:v>
                </c:pt>
                <c:pt idx="413">
                  <c:v>8.9156212756765836</c:v>
                </c:pt>
                <c:pt idx="414">
                  <c:v>8.9156470428533012</c:v>
                </c:pt>
                <c:pt idx="415">
                  <c:v>8.915672546724478</c:v>
                </c:pt>
                <c:pt idx="416">
                  <c:v>8.9156977896665524</c:v>
                </c:pt>
                <c:pt idx="417">
                  <c:v>8.9157227740434415</c:v>
                </c:pt>
                <c:pt idx="418">
                  <c:v>8.9157475021713193</c:v>
                </c:pt>
                <c:pt idx="419">
                  <c:v>8.9157719763632457</c:v>
                </c:pt>
                <c:pt idx="420">
                  <c:v>8.9157961988985424</c:v>
                </c:pt>
                <c:pt idx="421">
                  <c:v>8.9158201720287966</c:v>
                </c:pt>
                <c:pt idx="422">
                  <c:v>8.9158438979819685</c:v>
                </c:pt>
                <c:pt idx="423">
                  <c:v>8.9158673789673895</c:v>
                </c:pt>
                <c:pt idx="424">
                  <c:v>8.9158906171731989</c:v>
                </c:pt>
                <c:pt idx="425">
                  <c:v>8.915913614759674</c:v>
                </c:pt>
                <c:pt idx="426">
                  <c:v>8.915936373867769</c:v>
                </c:pt>
                <c:pt idx="427">
                  <c:v>8.9159588965975356</c:v>
                </c:pt>
                <c:pt idx="428">
                  <c:v>8.9159811850568733</c:v>
                </c:pt>
                <c:pt idx="429">
                  <c:v>8.9160032413090935</c:v>
                </c:pt>
                <c:pt idx="430">
                  <c:v>8.9160250674152035</c:v>
                </c:pt>
                <c:pt idx="431">
                  <c:v>8.9160466653960047</c:v>
                </c:pt>
                <c:pt idx="432">
                  <c:v>8.9160680372571228</c:v>
                </c:pt>
                <c:pt idx="433">
                  <c:v>8.916089184985065</c:v>
                </c:pt>
                <c:pt idx="434">
                  <c:v>8.91611011055166</c:v>
                </c:pt>
                <c:pt idx="435">
                  <c:v>8.9161308158869126</c:v>
                </c:pt>
                <c:pt idx="436">
                  <c:v>8.9161513029401718</c:v>
                </c:pt>
                <c:pt idx="437">
                  <c:v>8.9161715735907645</c:v>
                </c:pt>
                <c:pt idx="438">
                  <c:v>8.916191629748937</c:v>
                </c:pt>
                <c:pt idx="439">
                  <c:v>8.9162114732621092</c:v>
                </c:pt>
                <c:pt idx="440">
                  <c:v>8.9162311059916011</c:v>
                </c:pt>
                <c:pt idx="441">
                  <c:v>8.9162505297564927</c:v>
                </c:pt>
                <c:pt idx="442">
                  <c:v>8.916269746363005</c:v>
                </c:pt>
                <c:pt idx="443">
                  <c:v>8.9162887576170959</c:v>
                </c:pt>
                <c:pt idx="444">
                  <c:v>8.9163075652740407</c:v>
                </c:pt>
                <c:pt idx="445">
                  <c:v>8.9163261710983388</c:v>
                </c:pt>
                <c:pt idx="446">
                  <c:v>8.9163445768359022</c:v>
                </c:pt>
                <c:pt idx="447">
                  <c:v>8.9163627841884523</c:v>
                </c:pt>
                <c:pt idx="448">
                  <c:v>8.9163807948698395</c:v>
                </c:pt>
                <c:pt idx="449">
                  <c:v>8.9163986105608206</c:v>
                </c:pt>
                <c:pt idx="450">
                  <c:v>8.9164162329290804</c:v>
                </c:pt>
                <c:pt idx="451">
                  <c:v>8.9164336636299382</c:v>
                </c:pt>
                <c:pt idx="452">
                  <c:v>8.916450904286723</c:v>
                </c:pt>
                <c:pt idx="453">
                  <c:v>8.9164679565396998</c:v>
                </c:pt>
                <c:pt idx="454">
                  <c:v>8.9164848219769919</c:v>
                </c:pt>
                <c:pt idx="455">
                  <c:v>8.9165015021824683</c:v>
                </c:pt>
                <c:pt idx="456">
                  <c:v>8.9165179987285725</c:v>
                </c:pt>
                <c:pt idx="457">
                  <c:v>8.916534313179536</c:v>
                </c:pt>
                <c:pt idx="458">
                  <c:v>8.9165504470580679</c:v>
                </c:pt>
                <c:pt idx="459">
                  <c:v>8.9165664018996296</c:v>
                </c:pt>
                <c:pt idx="460">
                  <c:v>8.9165821792183397</c:v>
                </c:pt>
                <c:pt idx="461">
                  <c:v>8.9165977804999077</c:v>
                </c:pt>
                <c:pt idx="462">
                  <c:v>8.9166132072237225</c:v>
                </c:pt>
                <c:pt idx="463">
                  <c:v>8.9166284608568205</c:v>
                </c:pt>
                <c:pt idx="464">
                  <c:v>8.9166435428613049</c:v>
                </c:pt>
                <c:pt idx="465">
                  <c:v>8.9166584546516265</c:v>
                </c:pt>
                <c:pt idx="466">
                  <c:v>8.9166731976675315</c:v>
                </c:pt>
                <c:pt idx="467">
                  <c:v>8.9166877733098975</c:v>
                </c:pt>
                <c:pt idx="468">
                  <c:v>8.9167021829798276</c:v>
                </c:pt>
                <c:pt idx="469">
                  <c:v>8.9167164280519646</c:v>
                </c:pt>
                <c:pt idx="470">
                  <c:v>8.9167305099064613</c:v>
                </c:pt>
                <c:pt idx="471">
                  <c:v>8.9167444298799481</c:v>
                </c:pt>
                <c:pt idx="472">
                  <c:v>8.9167581893317731</c:v>
                </c:pt>
                <c:pt idx="473">
                  <c:v>8.9167717895815954</c:v>
                </c:pt>
                <c:pt idx="474">
                  <c:v>8.9167852319399383</c:v>
                </c:pt>
                <c:pt idx="475">
                  <c:v>8.9167985177187283</c:v>
                </c:pt>
                <c:pt idx="476">
                  <c:v>8.9168116482172266</c:v>
                </c:pt>
                <c:pt idx="477">
                  <c:v>8.9168246246919001</c:v>
                </c:pt>
                <c:pt idx="478">
                  <c:v>8.9168374484316839</c:v>
                </c:pt>
                <c:pt idx="479">
                  <c:v>8.9168501206717306</c:v>
                </c:pt>
                <c:pt idx="480">
                  <c:v>8.9168626426744542</c:v>
                </c:pt>
                <c:pt idx="481">
                  <c:v>8.916875015646319</c:v>
                </c:pt>
                <c:pt idx="482">
                  <c:v>8.9168872408311994</c:v>
                </c:pt>
                <c:pt idx="483">
                  <c:v>8.9168993194118453</c:v>
                </c:pt>
                <c:pt idx="484">
                  <c:v>8.9169112526029206</c:v>
                </c:pt>
                <c:pt idx="485">
                  <c:v>8.9169230415893814</c:v>
                </c:pt>
                <c:pt idx="486">
                  <c:v>8.916934687527327</c:v>
                </c:pt>
                <c:pt idx="487">
                  <c:v>8.9169461915950965</c:v>
                </c:pt>
                <c:pt idx="488">
                  <c:v>8.916957554943302</c:v>
                </c:pt>
                <c:pt idx="489">
                  <c:v>8.9169687787034224</c:v>
                </c:pt>
                <c:pt idx="490">
                  <c:v>8.9169798640087414</c:v>
                </c:pt>
                <c:pt idx="491">
                  <c:v>8.9169908119834798</c:v>
                </c:pt>
                <c:pt idx="492">
                  <c:v>8.9170016237347252</c:v>
                </c:pt>
                <c:pt idx="493">
                  <c:v>8.9170123003564452</c:v>
                </c:pt>
                <c:pt idx="494">
                  <c:v>8.9170228429498835</c:v>
                </c:pt>
                <c:pt idx="495">
                  <c:v>8.9170332525769762</c:v>
                </c:pt>
                <c:pt idx="496">
                  <c:v>8.917043530312986</c:v>
                </c:pt>
                <c:pt idx="497">
                  <c:v>8.9170536772243789</c:v>
                </c:pt>
                <c:pt idx="498">
                  <c:v>8.917063694349908</c:v>
                </c:pt>
                <c:pt idx="499">
                  <c:v>8.9170735827268288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4-4674-BA45-96B21C1B2C9C}"/>
            </c:ext>
          </c:extLst>
        </c:ser>
        <c:ser>
          <c:idx val="1"/>
          <c:order val="1"/>
          <c:tx>
            <c:v>BS Price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'Tree vs BS (1)'!$A$13:$A$512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</c:numCache>
            </c:numRef>
          </c:cat>
          <c:val>
            <c:numRef>
              <c:f>'Tree vs BS (1)'!$C$13:$C$512</c:f>
              <c:numCache>
                <c:formatCode>General</c:formatCode>
                <c:ptCount val="500"/>
                <c:pt idx="0">
                  <c:v>8.9160373732031992</c:v>
                </c:pt>
                <c:pt idx="1">
                  <c:v>8.9160373732031992</c:v>
                </c:pt>
                <c:pt idx="2">
                  <c:v>8.9160373732031992</c:v>
                </c:pt>
                <c:pt idx="3">
                  <c:v>8.9160373732031992</c:v>
                </c:pt>
                <c:pt idx="4">
                  <c:v>8.9160373732031992</c:v>
                </c:pt>
                <c:pt idx="5">
                  <c:v>8.9160373732031992</c:v>
                </c:pt>
                <c:pt idx="6">
                  <c:v>8.9160373732031992</c:v>
                </c:pt>
                <c:pt idx="7">
                  <c:v>8.9160373732031992</c:v>
                </c:pt>
                <c:pt idx="8">
                  <c:v>8.9160373732031992</c:v>
                </c:pt>
                <c:pt idx="9">
                  <c:v>8.9160373732031992</c:v>
                </c:pt>
                <c:pt idx="10">
                  <c:v>8.9160373732031992</c:v>
                </c:pt>
                <c:pt idx="11">
                  <c:v>8.9160373732031992</c:v>
                </c:pt>
                <c:pt idx="12">
                  <c:v>8.9160373732031992</c:v>
                </c:pt>
                <c:pt idx="13">
                  <c:v>8.9160373732031992</c:v>
                </c:pt>
                <c:pt idx="14">
                  <c:v>8.9160373732031992</c:v>
                </c:pt>
                <c:pt idx="15">
                  <c:v>8.9160373732031992</c:v>
                </c:pt>
                <c:pt idx="16">
                  <c:v>8.9160373732031992</c:v>
                </c:pt>
                <c:pt idx="17">
                  <c:v>8.9160373732031992</c:v>
                </c:pt>
                <c:pt idx="18">
                  <c:v>8.9160373732031992</c:v>
                </c:pt>
                <c:pt idx="19">
                  <c:v>8.9160373732031992</c:v>
                </c:pt>
                <c:pt idx="20">
                  <c:v>8.9160373732031992</c:v>
                </c:pt>
                <c:pt idx="21">
                  <c:v>8.9160373732031992</c:v>
                </c:pt>
                <c:pt idx="22">
                  <c:v>8.9160373732031992</c:v>
                </c:pt>
                <c:pt idx="23">
                  <c:v>8.9160373732031992</c:v>
                </c:pt>
                <c:pt idx="24">
                  <c:v>8.9160373732031992</c:v>
                </c:pt>
                <c:pt idx="25">
                  <c:v>8.9160373732031992</c:v>
                </c:pt>
                <c:pt idx="26">
                  <c:v>8.9160373732031992</c:v>
                </c:pt>
                <c:pt idx="27">
                  <c:v>8.9160373732031992</c:v>
                </c:pt>
                <c:pt idx="28">
                  <c:v>8.9160373732031992</c:v>
                </c:pt>
                <c:pt idx="29">
                  <c:v>8.9160373732031992</c:v>
                </c:pt>
                <c:pt idx="30">
                  <c:v>8.9160373732031992</c:v>
                </c:pt>
                <c:pt idx="31">
                  <c:v>8.9160373732031992</c:v>
                </c:pt>
                <c:pt idx="32">
                  <c:v>8.9160373732031992</c:v>
                </c:pt>
                <c:pt idx="33">
                  <c:v>8.9160373732031992</c:v>
                </c:pt>
                <c:pt idx="34">
                  <c:v>8.9160373732031992</c:v>
                </c:pt>
                <c:pt idx="35">
                  <c:v>8.9160373732031992</c:v>
                </c:pt>
                <c:pt idx="36">
                  <c:v>8.9160373732031992</c:v>
                </c:pt>
                <c:pt idx="37">
                  <c:v>8.9160373732031992</c:v>
                </c:pt>
                <c:pt idx="38">
                  <c:v>8.9160373732031992</c:v>
                </c:pt>
                <c:pt idx="39">
                  <c:v>8.9160373732031992</c:v>
                </c:pt>
                <c:pt idx="40">
                  <c:v>8.9160373732031992</c:v>
                </c:pt>
                <c:pt idx="41">
                  <c:v>8.9160373732031992</c:v>
                </c:pt>
                <c:pt idx="42">
                  <c:v>8.9160373732031992</c:v>
                </c:pt>
                <c:pt idx="43">
                  <c:v>8.9160373732031992</c:v>
                </c:pt>
                <c:pt idx="44">
                  <c:v>8.9160373732031992</c:v>
                </c:pt>
                <c:pt idx="45">
                  <c:v>8.9160373732031992</c:v>
                </c:pt>
                <c:pt idx="46">
                  <c:v>8.9160373732031992</c:v>
                </c:pt>
                <c:pt idx="47">
                  <c:v>8.9160373732031992</c:v>
                </c:pt>
                <c:pt idx="48">
                  <c:v>8.9160373732031992</c:v>
                </c:pt>
                <c:pt idx="49">
                  <c:v>8.9160373732031992</c:v>
                </c:pt>
                <c:pt idx="50">
                  <c:v>8.9160373732031992</c:v>
                </c:pt>
                <c:pt idx="51">
                  <c:v>8.9160373732031992</c:v>
                </c:pt>
                <c:pt idx="52">
                  <c:v>8.9160373732031992</c:v>
                </c:pt>
                <c:pt idx="53">
                  <c:v>8.9160373732031992</c:v>
                </c:pt>
                <c:pt idx="54">
                  <c:v>8.9160373732031992</c:v>
                </c:pt>
                <c:pt idx="55">
                  <c:v>8.9160373732031992</c:v>
                </c:pt>
                <c:pt idx="56">
                  <c:v>8.9160373732031992</c:v>
                </c:pt>
                <c:pt idx="57">
                  <c:v>8.9160373732031992</c:v>
                </c:pt>
                <c:pt idx="58">
                  <c:v>8.9160373732031992</c:v>
                </c:pt>
                <c:pt idx="59">
                  <c:v>8.9160373732031992</c:v>
                </c:pt>
                <c:pt idx="60">
                  <c:v>8.9160373732031992</c:v>
                </c:pt>
                <c:pt idx="61">
                  <c:v>8.9160373732031992</c:v>
                </c:pt>
                <c:pt idx="62">
                  <c:v>8.9160373732031992</c:v>
                </c:pt>
                <c:pt idx="63">
                  <c:v>8.9160373732031992</c:v>
                </c:pt>
                <c:pt idx="64">
                  <c:v>8.9160373732031992</c:v>
                </c:pt>
                <c:pt idx="65">
                  <c:v>8.9160373732031992</c:v>
                </c:pt>
                <c:pt idx="66">
                  <c:v>8.9160373732031992</c:v>
                </c:pt>
                <c:pt idx="67">
                  <c:v>8.9160373732031992</c:v>
                </c:pt>
                <c:pt idx="68">
                  <c:v>8.9160373732031992</c:v>
                </c:pt>
                <c:pt idx="69">
                  <c:v>8.9160373732031992</c:v>
                </c:pt>
                <c:pt idx="70">
                  <c:v>8.9160373732031992</c:v>
                </c:pt>
                <c:pt idx="71">
                  <c:v>8.9160373732031992</c:v>
                </c:pt>
                <c:pt idx="72">
                  <c:v>8.9160373732031992</c:v>
                </c:pt>
                <c:pt idx="73">
                  <c:v>8.9160373732031992</c:v>
                </c:pt>
                <c:pt idx="74">
                  <c:v>8.9160373732031992</c:v>
                </c:pt>
                <c:pt idx="75">
                  <c:v>8.9160373732031992</c:v>
                </c:pt>
                <c:pt idx="76">
                  <c:v>8.9160373732031992</c:v>
                </c:pt>
                <c:pt idx="77">
                  <c:v>8.9160373732031992</c:v>
                </c:pt>
                <c:pt idx="78">
                  <c:v>8.9160373732031992</c:v>
                </c:pt>
                <c:pt idx="79">
                  <c:v>8.9160373732031992</c:v>
                </c:pt>
                <c:pt idx="80">
                  <c:v>8.9160373732031992</c:v>
                </c:pt>
                <c:pt idx="81">
                  <c:v>8.9160373732031992</c:v>
                </c:pt>
                <c:pt idx="82">
                  <c:v>8.9160373732031992</c:v>
                </c:pt>
                <c:pt idx="83">
                  <c:v>8.9160373732031992</c:v>
                </c:pt>
                <c:pt idx="84">
                  <c:v>8.9160373732031992</c:v>
                </c:pt>
                <c:pt idx="85">
                  <c:v>8.9160373732031992</c:v>
                </c:pt>
                <c:pt idx="86">
                  <c:v>8.9160373732031992</c:v>
                </c:pt>
                <c:pt idx="87">
                  <c:v>8.9160373732031992</c:v>
                </c:pt>
                <c:pt idx="88">
                  <c:v>8.9160373732031992</c:v>
                </c:pt>
                <c:pt idx="89">
                  <c:v>8.9160373732031992</c:v>
                </c:pt>
                <c:pt idx="90">
                  <c:v>8.9160373732031992</c:v>
                </c:pt>
                <c:pt idx="91">
                  <c:v>8.9160373732031992</c:v>
                </c:pt>
                <c:pt idx="92">
                  <c:v>8.9160373732031992</c:v>
                </c:pt>
                <c:pt idx="93">
                  <c:v>8.9160373732031992</c:v>
                </c:pt>
                <c:pt idx="94">
                  <c:v>8.9160373732031992</c:v>
                </c:pt>
                <c:pt idx="95">
                  <c:v>8.9160373732031992</c:v>
                </c:pt>
                <c:pt idx="96">
                  <c:v>8.9160373732031992</c:v>
                </c:pt>
                <c:pt idx="97">
                  <c:v>8.9160373732031992</c:v>
                </c:pt>
                <c:pt idx="98">
                  <c:v>8.9160373732031992</c:v>
                </c:pt>
                <c:pt idx="99">
                  <c:v>8.9160373732031992</c:v>
                </c:pt>
                <c:pt idx="100">
                  <c:v>8.9160373732031992</c:v>
                </c:pt>
                <c:pt idx="101">
                  <c:v>8.9160373732031992</c:v>
                </c:pt>
                <c:pt idx="102">
                  <c:v>8.9160373732031992</c:v>
                </c:pt>
                <c:pt idx="103">
                  <c:v>8.9160373732031992</c:v>
                </c:pt>
                <c:pt idx="104">
                  <c:v>8.9160373732031992</c:v>
                </c:pt>
                <c:pt idx="105">
                  <c:v>8.9160373732031992</c:v>
                </c:pt>
                <c:pt idx="106">
                  <c:v>8.9160373732031992</c:v>
                </c:pt>
                <c:pt idx="107">
                  <c:v>8.9160373732031992</c:v>
                </c:pt>
                <c:pt idx="108">
                  <c:v>8.9160373732031992</c:v>
                </c:pt>
                <c:pt idx="109">
                  <c:v>8.9160373732031992</c:v>
                </c:pt>
                <c:pt idx="110">
                  <c:v>8.9160373732031992</c:v>
                </c:pt>
                <c:pt idx="111">
                  <c:v>8.9160373732031992</c:v>
                </c:pt>
                <c:pt idx="112">
                  <c:v>8.9160373732031992</c:v>
                </c:pt>
                <c:pt idx="113">
                  <c:v>8.9160373732031992</c:v>
                </c:pt>
                <c:pt idx="114">
                  <c:v>8.9160373732031992</c:v>
                </c:pt>
                <c:pt idx="115">
                  <c:v>8.9160373732031992</c:v>
                </c:pt>
                <c:pt idx="116">
                  <c:v>8.9160373732031992</c:v>
                </c:pt>
                <c:pt idx="117">
                  <c:v>8.9160373732031992</c:v>
                </c:pt>
                <c:pt idx="118">
                  <c:v>8.9160373732031992</c:v>
                </c:pt>
                <c:pt idx="119">
                  <c:v>8.9160373732031992</c:v>
                </c:pt>
                <c:pt idx="120">
                  <c:v>8.9160373732031992</c:v>
                </c:pt>
                <c:pt idx="121">
                  <c:v>8.9160373732031992</c:v>
                </c:pt>
                <c:pt idx="122">
                  <c:v>8.9160373732031992</c:v>
                </c:pt>
                <c:pt idx="123">
                  <c:v>8.9160373732031992</c:v>
                </c:pt>
                <c:pt idx="124">
                  <c:v>8.9160373732031992</c:v>
                </c:pt>
                <c:pt idx="125">
                  <c:v>8.9160373732031992</c:v>
                </c:pt>
                <c:pt idx="126">
                  <c:v>8.9160373732031992</c:v>
                </c:pt>
                <c:pt idx="127">
                  <c:v>8.9160373732031992</c:v>
                </c:pt>
                <c:pt idx="128">
                  <c:v>8.9160373732031992</c:v>
                </c:pt>
                <c:pt idx="129">
                  <c:v>8.9160373732031992</c:v>
                </c:pt>
                <c:pt idx="130">
                  <c:v>8.9160373732031992</c:v>
                </c:pt>
                <c:pt idx="131">
                  <c:v>8.9160373732031992</c:v>
                </c:pt>
                <c:pt idx="132">
                  <c:v>8.9160373732031992</c:v>
                </c:pt>
                <c:pt idx="133">
                  <c:v>8.9160373732031992</c:v>
                </c:pt>
                <c:pt idx="134">
                  <c:v>8.9160373732031992</c:v>
                </c:pt>
                <c:pt idx="135">
                  <c:v>8.9160373732031992</c:v>
                </c:pt>
                <c:pt idx="136">
                  <c:v>8.9160373732031992</c:v>
                </c:pt>
                <c:pt idx="137">
                  <c:v>8.9160373732031992</c:v>
                </c:pt>
                <c:pt idx="138">
                  <c:v>8.9160373732031992</c:v>
                </c:pt>
                <c:pt idx="139">
                  <c:v>8.9160373732031992</c:v>
                </c:pt>
                <c:pt idx="140">
                  <c:v>8.9160373732031992</c:v>
                </c:pt>
                <c:pt idx="141">
                  <c:v>8.9160373732031992</c:v>
                </c:pt>
                <c:pt idx="142">
                  <c:v>8.9160373732031992</c:v>
                </c:pt>
                <c:pt idx="143">
                  <c:v>8.9160373732031992</c:v>
                </c:pt>
                <c:pt idx="144">
                  <c:v>8.9160373732031992</c:v>
                </c:pt>
                <c:pt idx="145">
                  <c:v>8.9160373732031992</c:v>
                </c:pt>
                <c:pt idx="146">
                  <c:v>8.9160373732031992</c:v>
                </c:pt>
                <c:pt idx="147">
                  <c:v>8.9160373732031992</c:v>
                </c:pt>
                <c:pt idx="148">
                  <c:v>8.9160373732031992</c:v>
                </c:pt>
                <c:pt idx="149">
                  <c:v>8.9160373732031992</c:v>
                </c:pt>
                <c:pt idx="150">
                  <c:v>8.9160373732031992</c:v>
                </c:pt>
                <c:pt idx="151">
                  <c:v>8.9160373732031992</c:v>
                </c:pt>
                <c:pt idx="152">
                  <c:v>8.9160373732031992</c:v>
                </c:pt>
                <c:pt idx="153">
                  <c:v>8.9160373732031992</c:v>
                </c:pt>
                <c:pt idx="154">
                  <c:v>8.9160373732031992</c:v>
                </c:pt>
                <c:pt idx="155">
                  <c:v>8.9160373732031992</c:v>
                </c:pt>
                <c:pt idx="156">
                  <c:v>8.9160373732031992</c:v>
                </c:pt>
                <c:pt idx="157">
                  <c:v>8.9160373732031992</c:v>
                </c:pt>
                <c:pt idx="158">
                  <c:v>8.9160373732031992</c:v>
                </c:pt>
                <c:pt idx="159">
                  <c:v>8.9160373732031992</c:v>
                </c:pt>
                <c:pt idx="160">
                  <c:v>8.9160373732031992</c:v>
                </c:pt>
                <c:pt idx="161">
                  <c:v>8.9160373732031992</c:v>
                </c:pt>
                <c:pt idx="162">
                  <c:v>8.9160373732031992</c:v>
                </c:pt>
                <c:pt idx="163">
                  <c:v>8.9160373732031992</c:v>
                </c:pt>
                <c:pt idx="164">
                  <c:v>8.9160373732031992</c:v>
                </c:pt>
                <c:pt idx="165">
                  <c:v>8.9160373732031992</c:v>
                </c:pt>
                <c:pt idx="166">
                  <c:v>8.9160373732031992</c:v>
                </c:pt>
                <c:pt idx="167">
                  <c:v>8.9160373732031992</c:v>
                </c:pt>
                <c:pt idx="168">
                  <c:v>8.9160373732031992</c:v>
                </c:pt>
                <c:pt idx="169">
                  <c:v>8.9160373732031992</c:v>
                </c:pt>
                <c:pt idx="170">
                  <c:v>8.9160373732031992</c:v>
                </c:pt>
                <c:pt idx="171">
                  <c:v>8.9160373732031992</c:v>
                </c:pt>
                <c:pt idx="172">
                  <c:v>8.9160373732031992</c:v>
                </c:pt>
                <c:pt idx="173">
                  <c:v>8.9160373732031992</c:v>
                </c:pt>
                <c:pt idx="174">
                  <c:v>8.9160373732031992</c:v>
                </c:pt>
                <c:pt idx="175">
                  <c:v>8.9160373732031992</c:v>
                </c:pt>
                <c:pt idx="176">
                  <c:v>8.9160373732031992</c:v>
                </c:pt>
                <c:pt idx="177">
                  <c:v>8.9160373732031992</c:v>
                </c:pt>
                <c:pt idx="178">
                  <c:v>8.9160373732031992</c:v>
                </c:pt>
                <c:pt idx="179">
                  <c:v>8.9160373732031992</c:v>
                </c:pt>
                <c:pt idx="180">
                  <c:v>8.9160373732031992</c:v>
                </c:pt>
                <c:pt idx="181">
                  <c:v>8.9160373732031992</c:v>
                </c:pt>
                <c:pt idx="182">
                  <c:v>8.9160373732031992</c:v>
                </c:pt>
                <c:pt idx="183">
                  <c:v>8.9160373732031992</c:v>
                </c:pt>
                <c:pt idx="184">
                  <c:v>8.9160373732031992</c:v>
                </c:pt>
                <c:pt idx="185">
                  <c:v>8.9160373732031992</c:v>
                </c:pt>
                <c:pt idx="186">
                  <c:v>8.9160373732031992</c:v>
                </c:pt>
                <c:pt idx="187">
                  <c:v>8.9160373732031992</c:v>
                </c:pt>
                <c:pt idx="188">
                  <c:v>8.9160373732031992</c:v>
                </c:pt>
                <c:pt idx="189">
                  <c:v>8.9160373732031992</c:v>
                </c:pt>
                <c:pt idx="190">
                  <c:v>8.9160373732031992</c:v>
                </c:pt>
                <c:pt idx="191">
                  <c:v>8.9160373732031992</c:v>
                </c:pt>
                <c:pt idx="192">
                  <c:v>8.9160373732031992</c:v>
                </c:pt>
                <c:pt idx="193">
                  <c:v>8.9160373732031992</c:v>
                </c:pt>
                <c:pt idx="194">
                  <c:v>8.9160373732031992</c:v>
                </c:pt>
                <c:pt idx="195">
                  <c:v>8.9160373732031992</c:v>
                </c:pt>
                <c:pt idx="196">
                  <c:v>8.9160373732031992</c:v>
                </c:pt>
                <c:pt idx="197">
                  <c:v>8.9160373732031992</c:v>
                </c:pt>
                <c:pt idx="198">
                  <c:v>8.9160373732031992</c:v>
                </c:pt>
                <c:pt idx="199">
                  <c:v>8.9160373732031992</c:v>
                </c:pt>
                <c:pt idx="200">
                  <c:v>8.9160373732031992</c:v>
                </c:pt>
                <c:pt idx="201">
                  <c:v>8.9160373732031992</c:v>
                </c:pt>
                <c:pt idx="202">
                  <c:v>8.9160373732031992</c:v>
                </c:pt>
                <c:pt idx="203">
                  <c:v>8.9160373732031992</c:v>
                </c:pt>
                <c:pt idx="204">
                  <c:v>8.9160373732031992</c:v>
                </c:pt>
                <c:pt idx="205">
                  <c:v>8.9160373732031992</c:v>
                </c:pt>
                <c:pt idx="206">
                  <c:v>8.9160373732031992</c:v>
                </c:pt>
                <c:pt idx="207">
                  <c:v>8.9160373732031992</c:v>
                </c:pt>
                <c:pt idx="208">
                  <c:v>8.9160373732031992</c:v>
                </c:pt>
                <c:pt idx="209">
                  <c:v>8.9160373732031992</c:v>
                </c:pt>
                <c:pt idx="210">
                  <c:v>8.9160373732031992</c:v>
                </c:pt>
                <c:pt idx="211">
                  <c:v>8.9160373732031992</c:v>
                </c:pt>
                <c:pt idx="212">
                  <c:v>8.9160373732031992</c:v>
                </c:pt>
                <c:pt idx="213">
                  <c:v>8.9160373732031992</c:v>
                </c:pt>
                <c:pt idx="214">
                  <c:v>8.9160373732031992</c:v>
                </c:pt>
                <c:pt idx="215">
                  <c:v>8.9160373732031992</c:v>
                </c:pt>
                <c:pt idx="216">
                  <c:v>8.9160373732031992</c:v>
                </c:pt>
                <c:pt idx="217">
                  <c:v>8.9160373732031992</c:v>
                </c:pt>
                <c:pt idx="218">
                  <c:v>8.9160373732031992</c:v>
                </c:pt>
                <c:pt idx="219">
                  <c:v>8.9160373732031992</c:v>
                </c:pt>
                <c:pt idx="220">
                  <c:v>8.9160373732031992</c:v>
                </c:pt>
                <c:pt idx="221">
                  <c:v>8.9160373732031992</c:v>
                </c:pt>
                <c:pt idx="222">
                  <c:v>8.9160373732031992</c:v>
                </c:pt>
                <c:pt idx="223">
                  <c:v>8.9160373732031992</c:v>
                </c:pt>
                <c:pt idx="224">
                  <c:v>8.9160373732031992</c:v>
                </c:pt>
                <c:pt idx="225">
                  <c:v>8.9160373732031992</c:v>
                </c:pt>
                <c:pt idx="226">
                  <c:v>8.9160373732031992</c:v>
                </c:pt>
                <c:pt idx="227">
                  <c:v>8.9160373732031992</c:v>
                </c:pt>
                <c:pt idx="228">
                  <c:v>8.9160373732031992</c:v>
                </c:pt>
                <c:pt idx="229">
                  <c:v>8.9160373732031992</c:v>
                </c:pt>
                <c:pt idx="230">
                  <c:v>8.9160373732031992</c:v>
                </c:pt>
                <c:pt idx="231">
                  <c:v>8.9160373732031992</c:v>
                </c:pt>
                <c:pt idx="232">
                  <c:v>8.9160373732031992</c:v>
                </c:pt>
                <c:pt idx="233">
                  <c:v>8.9160373732031992</c:v>
                </c:pt>
                <c:pt idx="234">
                  <c:v>8.9160373732031992</c:v>
                </c:pt>
                <c:pt idx="235">
                  <c:v>8.9160373732031992</c:v>
                </c:pt>
                <c:pt idx="236">
                  <c:v>8.9160373732031992</c:v>
                </c:pt>
                <c:pt idx="237">
                  <c:v>8.9160373732031992</c:v>
                </c:pt>
                <c:pt idx="238">
                  <c:v>8.9160373732031992</c:v>
                </c:pt>
                <c:pt idx="239">
                  <c:v>8.9160373732031992</c:v>
                </c:pt>
                <c:pt idx="240">
                  <c:v>8.9160373732031992</c:v>
                </c:pt>
                <c:pt idx="241">
                  <c:v>8.9160373732031992</c:v>
                </c:pt>
                <c:pt idx="242">
                  <c:v>8.9160373732031992</c:v>
                </c:pt>
                <c:pt idx="243">
                  <c:v>8.9160373732031992</c:v>
                </c:pt>
                <c:pt idx="244">
                  <c:v>8.9160373732031992</c:v>
                </c:pt>
                <c:pt idx="245">
                  <c:v>8.9160373732031992</c:v>
                </c:pt>
                <c:pt idx="246">
                  <c:v>8.9160373732031992</c:v>
                </c:pt>
                <c:pt idx="247">
                  <c:v>8.9160373732031992</c:v>
                </c:pt>
                <c:pt idx="248">
                  <c:v>8.9160373732031992</c:v>
                </c:pt>
                <c:pt idx="249">
                  <c:v>8.9160373732031992</c:v>
                </c:pt>
                <c:pt idx="250">
                  <c:v>8.9160373732031992</c:v>
                </c:pt>
                <c:pt idx="251">
                  <c:v>8.9160373732031992</c:v>
                </c:pt>
                <c:pt idx="252">
                  <c:v>8.9160373732031992</c:v>
                </c:pt>
                <c:pt idx="253">
                  <c:v>8.9160373732031992</c:v>
                </c:pt>
                <c:pt idx="254">
                  <c:v>8.9160373732031992</c:v>
                </c:pt>
                <c:pt idx="255">
                  <c:v>8.9160373732031992</c:v>
                </c:pt>
                <c:pt idx="256">
                  <c:v>8.9160373732031992</c:v>
                </c:pt>
                <c:pt idx="257">
                  <c:v>8.9160373732031992</c:v>
                </c:pt>
                <c:pt idx="258">
                  <c:v>8.9160373732031992</c:v>
                </c:pt>
                <c:pt idx="259">
                  <c:v>8.9160373732031992</c:v>
                </c:pt>
                <c:pt idx="260">
                  <c:v>8.9160373732031992</c:v>
                </c:pt>
                <c:pt idx="261">
                  <c:v>8.9160373732031992</c:v>
                </c:pt>
                <c:pt idx="262">
                  <c:v>8.9160373732031992</c:v>
                </c:pt>
                <c:pt idx="263">
                  <c:v>8.9160373732031992</c:v>
                </c:pt>
                <c:pt idx="264">
                  <c:v>8.9160373732031992</c:v>
                </c:pt>
                <c:pt idx="265">
                  <c:v>8.9160373732031992</c:v>
                </c:pt>
                <c:pt idx="266">
                  <c:v>8.9160373732031992</c:v>
                </c:pt>
                <c:pt idx="267">
                  <c:v>8.9160373732031992</c:v>
                </c:pt>
                <c:pt idx="268">
                  <c:v>8.9160373732031992</c:v>
                </c:pt>
                <c:pt idx="269">
                  <c:v>8.9160373732031992</c:v>
                </c:pt>
                <c:pt idx="270">
                  <c:v>8.9160373732031992</c:v>
                </c:pt>
                <c:pt idx="271">
                  <c:v>8.9160373732031992</c:v>
                </c:pt>
                <c:pt idx="272">
                  <c:v>8.9160373732031992</c:v>
                </c:pt>
                <c:pt idx="273">
                  <c:v>8.9160373732031992</c:v>
                </c:pt>
                <c:pt idx="274">
                  <c:v>8.9160373732031992</c:v>
                </c:pt>
                <c:pt idx="275">
                  <c:v>8.9160373732031992</c:v>
                </c:pt>
                <c:pt idx="276">
                  <c:v>8.9160373732031992</c:v>
                </c:pt>
                <c:pt idx="277">
                  <c:v>8.9160373732031992</c:v>
                </c:pt>
                <c:pt idx="278">
                  <c:v>8.9160373732031992</c:v>
                </c:pt>
                <c:pt idx="279">
                  <c:v>8.9160373732031992</c:v>
                </c:pt>
                <c:pt idx="280">
                  <c:v>8.9160373732031992</c:v>
                </c:pt>
                <c:pt idx="281">
                  <c:v>8.9160373732031992</c:v>
                </c:pt>
                <c:pt idx="282">
                  <c:v>8.9160373732031992</c:v>
                </c:pt>
                <c:pt idx="283">
                  <c:v>8.9160373732031992</c:v>
                </c:pt>
                <c:pt idx="284">
                  <c:v>8.9160373732031992</c:v>
                </c:pt>
                <c:pt idx="285">
                  <c:v>8.9160373732031992</c:v>
                </c:pt>
                <c:pt idx="286">
                  <c:v>8.9160373732031992</c:v>
                </c:pt>
                <c:pt idx="287">
                  <c:v>8.9160373732031992</c:v>
                </c:pt>
                <c:pt idx="288">
                  <c:v>8.9160373732031992</c:v>
                </c:pt>
                <c:pt idx="289">
                  <c:v>8.9160373732031992</c:v>
                </c:pt>
                <c:pt idx="290">
                  <c:v>8.9160373732031992</c:v>
                </c:pt>
                <c:pt idx="291">
                  <c:v>8.9160373732031992</c:v>
                </c:pt>
                <c:pt idx="292">
                  <c:v>8.9160373732031992</c:v>
                </c:pt>
                <c:pt idx="293">
                  <c:v>8.9160373732031992</c:v>
                </c:pt>
                <c:pt idx="294">
                  <c:v>8.9160373732031992</c:v>
                </c:pt>
                <c:pt idx="295">
                  <c:v>8.9160373732031992</c:v>
                </c:pt>
                <c:pt idx="296">
                  <c:v>8.9160373732031992</c:v>
                </c:pt>
                <c:pt idx="297">
                  <c:v>8.9160373732031992</c:v>
                </c:pt>
                <c:pt idx="298">
                  <c:v>8.9160373732031992</c:v>
                </c:pt>
                <c:pt idx="299">
                  <c:v>8.9160373732031992</c:v>
                </c:pt>
                <c:pt idx="300">
                  <c:v>8.9160373732031992</c:v>
                </c:pt>
                <c:pt idx="301">
                  <c:v>8.9160373732031992</c:v>
                </c:pt>
                <c:pt idx="302">
                  <c:v>8.9160373732031992</c:v>
                </c:pt>
                <c:pt idx="303">
                  <c:v>8.9160373732031992</c:v>
                </c:pt>
                <c:pt idx="304">
                  <c:v>8.9160373732031992</c:v>
                </c:pt>
                <c:pt idx="305">
                  <c:v>8.9160373732031992</c:v>
                </c:pt>
                <c:pt idx="306">
                  <c:v>8.9160373732031992</c:v>
                </c:pt>
                <c:pt idx="307">
                  <c:v>8.9160373732031992</c:v>
                </c:pt>
                <c:pt idx="308">
                  <c:v>8.9160373732031992</c:v>
                </c:pt>
                <c:pt idx="309">
                  <c:v>8.9160373732031992</c:v>
                </c:pt>
                <c:pt idx="310">
                  <c:v>8.9160373732031992</c:v>
                </c:pt>
                <c:pt idx="311">
                  <c:v>8.9160373732031992</c:v>
                </c:pt>
                <c:pt idx="312">
                  <c:v>8.9160373732031992</c:v>
                </c:pt>
                <c:pt idx="313">
                  <c:v>8.9160373732031992</c:v>
                </c:pt>
                <c:pt idx="314">
                  <c:v>8.9160373732031992</c:v>
                </c:pt>
                <c:pt idx="315">
                  <c:v>8.9160373732031992</c:v>
                </c:pt>
                <c:pt idx="316">
                  <c:v>8.9160373732031992</c:v>
                </c:pt>
                <c:pt idx="317">
                  <c:v>8.9160373732031992</c:v>
                </c:pt>
                <c:pt idx="318">
                  <c:v>8.9160373732031992</c:v>
                </c:pt>
                <c:pt idx="319">
                  <c:v>8.9160373732031992</c:v>
                </c:pt>
                <c:pt idx="320">
                  <c:v>8.9160373732031992</c:v>
                </c:pt>
                <c:pt idx="321">
                  <c:v>8.9160373732031992</c:v>
                </c:pt>
                <c:pt idx="322">
                  <c:v>8.9160373732031992</c:v>
                </c:pt>
                <c:pt idx="323">
                  <c:v>8.9160373732031992</c:v>
                </c:pt>
                <c:pt idx="324">
                  <c:v>8.9160373732031992</c:v>
                </c:pt>
                <c:pt idx="325">
                  <c:v>8.9160373732031992</c:v>
                </c:pt>
                <c:pt idx="326">
                  <c:v>8.9160373732031992</c:v>
                </c:pt>
                <c:pt idx="327">
                  <c:v>8.9160373732031992</c:v>
                </c:pt>
                <c:pt idx="328">
                  <c:v>8.9160373732031992</c:v>
                </c:pt>
                <c:pt idx="329">
                  <c:v>8.9160373732031992</c:v>
                </c:pt>
                <c:pt idx="330">
                  <c:v>8.9160373732031992</c:v>
                </c:pt>
                <c:pt idx="331">
                  <c:v>8.9160373732031992</c:v>
                </c:pt>
                <c:pt idx="332">
                  <c:v>8.9160373732031992</c:v>
                </c:pt>
                <c:pt idx="333">
                  <c:v>8.9160373732031992</c:v>
                </c:pt>
                <c:pt idx="334">
                  <c:v>8.9160373732031992</c:v>
                </c:pt>
                <c:pt idx="335">
                  <c:v>8.9160373732031992</c:v>
                </c:pt>
                <c:pt idx="336">
                  <c:v>8.9160373732031992</c:v>
                </c:pt>
                <c:pt idx="337">
                  <c:v>8.9160373732031992</c:v>
                </c:pt>
                <c:pt idx="338">
                  <c:v>8.9160373732031992</c:v>
                </c:pt>
                <c:pt idx="339">
                  <c:v>8.9160373732031992</c:v>
                </c:pt>
                <c:pt idx="340">
                  <c:v>8.9160373732031992</c:v>
                </c:pt>
                <c:pt idx="341">
                  <c:v>8.9160373732031992</c:v>
                </c:pt>
                <c:pt idx="342">
                  <c:v>8.9160373732031992</c:v>
                </c:pt>
                <c:pt idx="343">
                  <c:v>8.9160373732031992</c:v>
                </c:pt>
                <c:pt idx="344">
                  <c:v>8.9160373732031992</c:v>
                </c:pt>
                <c:pt idx="345">
                  <c:v>8.9160373732031992</c:v>
                </c:pt>
                <c:pt idx="346">
                  <c:v>8.9160373732031992</c:v>
                </c:pt>
                <c:pt idx="347">
                  <c:v>8.9160373732031992</c:v>
                </c:pt>
                <c:pt idx="348">
                  <c:v>8.9160373732031992</c:v>
                </c:pt>
                <c:pt idx="349">
                  <c:v>8.9160373732031992</c:v>
                </c:pt>
                <c:pt idx="350">
                  <c:v>8.9160373732031992</c:v>
                </c:pt>
                <c:pt idx="351">
                  <c:v>8.9160373732031992</c:v>
                </c:pt>
                <c:pt idx="352">
                  <c:v>8.9160373732031992</c:v>
                </c:pt>
                <c:pt idx="353">
                  <c:v>8.9160373732031992</c:v>
                </c:pt>
                <c:pt idx="354">
                  <c:v>8.9160373732031992</c:v>
                </c:pt>
                <c:pt idx="355">
                  <c:v>8.9160373732031992</c:v>
                </c:pt>
                <c:pt idx="356">
                  <c:v>8.9160373732031992</c:v>
                </c:pt>
                <c:pt idx="357">
                  <c:v>8.9160373732031992</c:v>
                </c:pt>
                <c:pt idx="358">
                  <c:v>8.9160373732031992</c:v>
                </c:pt>
                <c:pt idx="359">
                  <c:v>8.9160373732031992</c:v>
                </c:pt>
                <c:pt idx="360">
                  <c:v>8.9160373732031992</c:v>
                </c:pt>
                <c:pt idx="361">
                  <c:v>8.9160373732031992</c:v>
                </c:pt>
                <c:pt idx="362">
                  <c:v>8.9160373732031992</c:v>
                </c:pt>
                <c:pt idx="363">
                  <c:v>8.9160373732031992</c:v>
                </c:pt>
                <c:pt idx="364">
                  <c:v>8.9160373732031992</c:v>
                </c:pt>
                <c:pt idx="365">
                  <c:v>8.9160373732031992</c:v>
                </c:pt>
                <c:pt idx="366">
                  <c:v>8.9160373732031992</c:v>
                </c:pt>
                <c:pt idx="367">
                  <c:v>8.9160373732031992</c:v>
                </c:pt>
                <c:pt idx="368">
                  <c:v>8.9160373732031992</c:v>
                </c:pt>
                <c:pt idx="369">
                  <c:v>8.9160373732031992</c:v>
                </c:pt>
                <c:pt idx="370">
                  <c:v>8.9160373732031992</c:v>
                </c:pt>
                <c:pt idx="371">
                  <c:v>8.9160373732031992</c:v>
                </c:pt>
                <c:pt idx="372">
                  <c:v>8.9160373732031992</c:v>
                </c:pt>
                <c:pt idx="373">
                  <c:v>8.9160373732031992</c:v>
                </c:pt>
                <c:pt idx="374">
                  <c:v>8.9160373732031992</c:v>
                </c:pt>
                <c:pt idx="375">
                  <c:v>8.9160373732031992</c:v>
                </c:pt>
                <c:pt idx="376">
                  <c:v>8.9160373732031992</c:v>
                </c:pt>
                <c:pt idx="377">
                  <c:v>8.9160373732031992</c:v>
                </c:pt>
                <c:pt idx="378">
                  <c:v>8.9160373732031992</c:v>
                </c:pt>
                <c:pt idx="379">
                  <c:v>8.9160373732031992</c:v>
                </c:pt>
                <c:pt idx="380">
                  <c:v>8.9160373732031992</c:v>
                </c:pt>
                <c:pt idx="381">
                  <c:v>8.9160373732031992</c:v>
                </c:pt>
                <c:pt idx="382">
                  <c:v>8.9160373732031992</c:v>
                </c:pt>
                <c:pt idx="383">
                  <c:v>8.9160373732031992</c:v>
                </c:pt>
                <c:pt idx="384">
                  <c:v>8.9160373732031992</c:v>
                </c:pt>
                <c:pt idx="385">
                  <c:v>8.9160373732031992</c:v>
                </c:pt>
                <c:pt idx="386">
                  <c:v>8.9160373732031992</c:v>
                </c:pt>
                <c:pt idx="387">
                  <c:v>8.9160373732031992</c:v>
                </c:pt>
                <c:pt idx="388">
                  <c:v>8.9160373732031992</c:v>
                </c:pt>
                <c:pt idx="389">
                  <c:v>8.9160373732031992</c:v>
                </c:pt>
                <c:pt idx="390">
                  <c:v>8.9160373732031992</c:v>
                </c:pt>
                <c:pt idx="391">
                  <c:v>8.9160373732031992</c:v>
                </c:pt>
                <c:pt idx="392">
                  <c:v>8.9160373732031992</c:v>
                </c:pt>
                <c:pt idx="393">
                  <c:v>8.9160373732031992</c:v>
                </c:pt>
                <c:pt idx="394">
                  <c:v>8.9160373732031992</c:v>
                </c:pt>
                <c:pt idx="395">
                  <c:v>8.9160373732031992</c:v>
                </c:pt>
                <c:pt idx="396">
                  <c:v>8.9160373732031992</c:v>
                </c:pt>
                <c:pt idx="397">
                  <c:v>8.9160373732031992</c:v>
                </c:pt>
                <c:pt idx="398">
                  <c:v>8.9160373732031992</c:v>
                </c:pt>
                <c:pt idx="399">
                  <c:v>8.9160373732031992</c:v>
                </c:pt>
                <c:pt idx="400">
                  <c:v>8.9160373732031992</c:v>
                </c:pt>
                <c:pt idx="401">
                  <c:v>8.9160373732031992</c:v>
                </c:pt>
                <c:pt idx="402">
                  <c:v>8.9160373732031992</c:v>
                </c:pt>
                <c:pt idx="403">
                  <c:v>8.9160373732031992</c:v>
                </c:pt>
                <c:pt idx="404">
                  <c:v>8.9160373732031992</c:v>
                </c:pt>
                <c:pt idx="405">
                  <c:v>8.9160373732031992</c:v>
                </c:pt>
                <c:pt idx="406">
                  <c:v>8.9160373732031992</c:v>
                </c:pt>
                <c:pt idx="407">
                  <c:v>8.9160373732031992</c:v>
                </c:pt>
                <c:pt idx="408">
                  <c:v>8.9160373732031992</c:v>
                </c:pt>
                <c:pt idx="409">
                  <c:v>8.9160373732031992</c:v>
                </c:pt>
                <c:pt idx="410">
                  <c:v>8.9160373732031992</c:v>
                </c:pt>
                <c:pt idx="411">
                  <c:v>8.9160373732031992</c:v>
                </c:pt>
                <c:pt idx="412">
                  <c:v>8.9160373732031992</c:v>
                </c:pt>
                <c:pt idx="413">
                  <c:v>8.9160373732031992</c:v>
                </c:pt>
                <c:pt idx="414">
                  <c:v>8.9160373732031992</c:v>
                </c:pt>
                <c:pt idx="415">
                  <c:v>8.9160373732031992</c:v>
                </c:pt>
                <c:pt idx="416">
                  <c:v>8.9160373732031992</c:v>
                </c:pt>
                <c:pt idx="417">
                  <c:v>8.9160373732031992</c:v>
                </c:pt>
                <c:pt idx="418">
                  <c:v>8.9160373732031992</c:v>
                </c:pt>
                <c:pt idx="419">
                  <c:v>8.9160373732031992</c:v>
                </c:pt>
                <c:pt idx="420">
                  <c:v>8.9160373732031992</c:v>
                </c:pt>
                <c:pt idx="421">
                  <c:v>8.9160373732031992</c:v>
                </c:pt>
                <c:pt idx="422">
                  <c:v>8.9160373732031992</c:v>
                </c:pt>
                <c:pt idx="423">
                  <c:v>8.9160373732031992</c:v>
                </c:pt>
                <c:pt idx="424">
                  <c:v>8.9160373732031992</c:v>
                </c:pt>
                <c:pt idx="425">
                  <c:v>8.9160373732031992</c:v>
                </c:pt>
                <c:pt idx="426">
                  <c:v>8.9160373732031992</c:v>
                </c:pt>
                <c:pt idx="427">
                  <c:v>8.9160373732031992</c:v>
                </c:pt>
                <c:pt idx="428">
                  <c:v>8.9160373732031992</c:v>
                </c:pt>
                <c:pt idx="429">
                  <c:v>8.9160373732031992</c:v>
                </c:pt>
                <c:pt idx="430">
                  <c:v>8.9160373732031992</c:v>
                </c:pt>
                <c:pt idx="431">
                  <c:v>8.9160373732031992</c:v>
                </c:pt>
                <c:pt idx="432">
                  <c:v>8.9160373732031992</c:v>
                </c:pt>
                <c:pt idx="433">
                  <c:v>8.9160373732031992</c:v>
                </c:pt>
                <c:pt idx="434">
                  <c:v>8.9160373732031992</c:v>
                </c:pt>
                <c:pt idx="435">
                  <c:v>8.9160373732031992</c:v>
                </c:pt>
                <c:pt idx="436">
                  <c:v>8.9160373732031992</c:v>
                </c:pt>
                <c:pt idx="437">
                  <c:v>8.9160373732031992</c:v>
                </c:pt>
                <c:pt idx="438">
                  <c:v>8.9160373732031992</c:v>
                </c:pt>
                <c:pt idx="439">
                  <c:v>8.9160373732031992</c:v>
                </c:pt>
                <c:pt idx="440">
                  <c:v>8.9160373732031992</c:v>
                </c:pt>
                <c:pt idx="441">
                  <c:v>8.9160373732031992</c:v>
                </c:pt>
                <c:pt idx="442">
                  <c:v>8.9160373732031992</c:v>
                </c:pt>
                <c:pt idx="443">
                  <c:v>8.9160373732031992</c:v>
                </c:pt>
                <c:pt idx="444">
                  <c:v>8.9160373732031992</c:v>
                </c:pt>
                <c:pt idx="445">
                  <c:v>8.9160373732031992</c:v>
                </c:pt>
                <c:pt idx="446">
                  <c:v>8.9160373732031992</c:v>
                </c:pt>
                <c:pt idx="447">
                  <c:v>8.9160373732031992</c:v>
                </c:pt>
                <c:pt idx="448">
                  <c:v>8.9160373732031992</c:v>
                </c:pt>
                <c:pt idx="449">
                  <c:v>8.9160373732031992</c:v>
                </c:pt>
                <c:pt idx="450">
                  <c:v>8.9160373732031992</c:v>
                </c:pt>
                <c:pt idx="451">
                  <c:v>8.9160373732031992</c:v>
                </c:pt>
                <c:pt idx="452">
                  <c:v>8.9160373732031992</c:v>
                </c:pt>
                <c:pt idx="453">
                  <c:v>8.9160373732031992</c:v>
                </c:pt>
                <c:pt idx="454">
                  <c:v>8.9160373732031992</c:v>
                </c:pt>
                <c:pt idx="455">
                  <c:v>8.9160373732031992</c:v>
                </c:pt>
                <c:pt idx="456">
                  <c:v>8.9160373732031992</c:v>
                </c:pt>
                <c:pt idx="457">
                  <c:v>8.9160373732031992</c:v>
                </c:pt>
                <c:pt idx="458">
                  <c:v>8.9160373732031992</c:v>
                </c:pt>
                <c:pt idx="459">
                  <c:v>8.9160373732031992</c:v>
                </c:pt>
                <c:pt idx="460">
                  <c:v>8.9160373732031992</c:v>
                </c:pt>
                <c:pt idx="461">
                  <c:v>8.9160373732031992</c:v>
                </c:pt>
                <c:pt idx="462">
                  <c:v>8.9160373732031992</c:v>
                </c:pt>
                <c:pt idx="463">
                  <c:v>8.9160373732031992</c:v>
                </c:pt>
                <c:pt idx="464">
                  <c:v>8.9160373732031992</c:v>
                </c:pt>
                <c:pt idx="465">
                  <c:v>8.9160373732031992</c:v>
                </c:pt>
                <c:pt idx="466">
                  <c:v>8.9160373732031992</c:v>
                </c:pt>
                <c:pt idx="467">
                  <c:v>8.9160373732031992</c:v>
                </c:pt>
                <c:pt idx="468">
                  <c:v>8.9160373732031992</c:v>
                </c:pt>
                <c:pt idx="469">
                  <c:v>8.9160373732031992</c:v>
                </c:pt>
                <c:pt idx="470">
                  <c:v>8.9160373732031992</c:v>
                </c:pt>
                <c:pt idx="471">
                  <c:v>8.9160373732031992</c:v>
                </c:pt>
                <c:pt idx="472">
                  <c:v>8.9160373732031992</c:v>
                </c:pt>
                <c:pt idx="473">
                  <c:v>8.9160373732031992</c:v>
                </c:pt>
                <c:pt idx="474">
                  <c:v>8.9160373732031992</c:v>
                </c:pt>
                <c:pt idx="475">
                  <c:v>8.9160373732031992</c:v>
                </c:pt>
                <c:pt idx="476">
                  <c:v>8.9160373732031992</c:v>
                </c:pt>
                <c:pt idx="477">
                  <c:v>8.9160373732031992</c:v>
                </c:pt>
                <c:pt idx="478">
                  <c:v>8.9160373732031992</c:v>
                </c:pt>
                <c:pt idx="479">
                  <c:v>8.9160373732031992</c:v>
                </c:pt>
                <c:pt idx="480">
                  <c:v>8.9160373732031992</c:v>
                </c:pt>
                <c:pt idx="481">
                  <c:v>8.9160373732031992</c:v>
                </c:pt>
                <c:pt idx="482">
                  <c:v>8.9160373732031992</c:v>
                </c:pt>
                <c:pt idx="483">
                  <c:v>8.9160373732031992</c:v>
                </c:pt>
                <c:pt idx="484">
                  <c:v>8.9160373732031992</c:v>
                </c:pt>
                <c:pt idx="485">
                  <c:v>8.9160373732031992</c:v>
                </c:pt>
                <c:pt idx="486">
                  <c:v>8.9160373732031992</c:v>
                </c:pt>
                <c:pt idx="487">
                  <c:v>8.9160373732031992</c:v>
                </c:pt>
                <c:pt idx="488">
                  <c:v>8.9160373732031992</c:v>
                </c:pt>
                <c:pt idx="489">
                  <c:v>8.9160373732031992</c:v>
                </c:pt>
                <c:pt idx="490">
                  <c:v>8.9160373732031992</c:v>
                </c:pt>
                <c:pt idx="491">
                  <c:v>8.9160373732031992</c:v>
                </c:pt>
                <c:pt idx="492">
                  <c:v>8.9160373732031992</c:v>
                </c:pt>
                <c:pt idx="493">
                  <c:v>8.9160373732031992</c:v>
                </c:pt>
                <c:pt idx="494">
                  <c:v>8.9160373732031992</c:v>
                </c:pt>
                <c:pt idx="495">
                  <c:v>8.9160373732031992</c:v>
                </c:pt>
                <c:pt idx="496">
                  <c:v>8.9160373732031992</c:v>
                </c:pt>
                <c:pt idx="497">
                  <c:v>8.9160373732031992</c:v>
                </c:pt>
                <c:pt idx="498">
                  <c:v>8.9160373732031992</c:v>
                </c:pt>
                <c:pt idx="499">
                  <c:v>8.9160373732031992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A4-4674-BA45-96B21C1B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680527"/>
        <c:axId val="202681359"/>
      </c:lineChart>
      <c:catAx>
        <c:axId val="202680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681359"/>
        <c:crosses val="autoZero"/>
        <c:auto val="1"/>
        <c:lblAlgn val="ctr"/>
        <c:lblOffset val="100"/>
        <c:noMultiLvlLbl val="0"/>
      </c:catAx>
      <c:valAx>
        <c:axId val="202681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680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Gap Formula</a:t>
            </a:r>
            <a:endParaRPr lang="en-US" b="1" baseline="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39413288215006193"/>
          <c:y val="2.18305351779823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772282596906789E-2"/>
          <c:y val="0.18859156892387971"/>
          <c:w val="0.90546183379970069"/>
          <c:h val="0.72986792595950811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'Tree vs BS (1)'!$A$13:$A$512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</c:numCache>
            </c:numRef>
          </c:xVal>
          <c:yVal>
            <c:numRef>
              <c:f>'Tree vs BS (1)'!$E$13:$E$512</c:f>
              <c:numCache>
                <c:formatCode>General</c:formatCode>
                <c:ptCount val="500"/>
                <c:pt idx="0">
                  <c:v>2.9621968409312331</c:v>
                </c:pt>
                <c:pt idx="1">
                  <c:v>1.4810984204656166</c:v>
                </c:pt>
                <c:pt idx="2">
                  <c:v>0.98739894697707764</c:v>
                </c:pt>
                <c:pt idx="3">
                  <c:v>0.74054921023280829</c:v>
                </c:pt>
                <c:pt idx="4">
                  <c:v>0.59243936818624665</c:v>
                </c:pt>
                <c:pt idx="5">
                  <c:v>0.49369947348853882</c:v>
                </c:pt>
                <c:pt idx="6">
                  <c:v>0.42317097727589043</c:v>
                </c:pt>
                <c:pt idx="7">
                  <c:v>0.37027460511640414</c:v>
                </c:pt>
                <c:pt idx="8">
                  <c:v>0.32913297751997195</c:v>
                </c:pt>
                <c:pt idx="9">
                  <c:v>0.29621967976797475</c:v>
                </c:pt>
                <c:pt idx="10">
                  <c:v>0.26929061797088616</c:v>
                </c:pt>
                <c:pt idx="11">
                  <c:v>0.24684973313997893</c:v>
                </c:pt>
                <c:pt idx="12">
                  <c:v>0.22786129212921138</c:v>
                </c:pt>
                <c:pt idx="13">
                  <c:v>0.21158548554855339</c:v>
                </c:pt>
                <c:pt idx="14">
                  <c:v>0.1974797865119832</c:v>
                </c:pt>
                <c:pt idx="15">
                  <c:v>0.18513729985498423</c:v>
                </c:pt>
                <c:pt idx="16">
                  <c:v>0.17424687045174986</c:v>
                </c:pt>
                <c:pt idx="17">
                  <c:v>0.16456648875998597</c:v>
                </c:pt>
                <c:pt idx="18">
                  <c:v>0.15590509461472357</c:v>
                </c:pt>
                <c:pt idx="19">
                  <c:v>0.14810983988398738</c:v>
                </c:pt>
                <c:pt idx="20">
                  <c:v>0.14105699036570227</c:v>
                </c:pt>
                <c:pt idx="21">
                  <c:v>0.13464530898544308</c:v>
                </c:pt>
                <c:pt idx="22">
                  <c:v>0.12879116511651079</c:v>
                </c:pt>
                <c:pt idx="23">
                  <c:v>0.12342486656998947</c:v>
                </c:pt>
                <c:pt idx="24">
                  <c:v>0.11848787190718992</c:v>
                </c:pt>
                <c:pt idx="25">
                  <c:v>0.11393064606460569</c:v>
                </c:pt>
                <c:pt idx="26">
                  <c:v>0.10971099250665732</c:v>
                </c:pt>
                <c:pt idx="27">
                  <c:v>0.10579274277427669</c:v>
                </c:pt>
                <c:pt idx="28">
                  <c:v>0.10214471716137061</c:v>
                </c:pt>
                <c:pt idx="29">
                  <c:v>9.8739893255991598E-2</c:v>
                </c:pt>
                <c:pt idx="30">
                  <c:v>9.5554735409024122E-2</c:v>
                </c:pt>
                <c:pt idx="31">
                  <c:v>9.2568649927492114E-2</c:v>
                </c:pt>
                <c:pt idx="32">
                  <c:v>8.9763539323628724E-2</c:v>
                </c:pt>
                <c:pt idx="33">
                  <c:v>8.7123435225874929E-2</c:v>
                </c:pt>
                <c:pt idx="34">
                  <c:v>8.4634194219421366E-2</c:v>
                </c:pt>
                <c:pt idx="35">
                  <c:v>8.2283244379992987E-2</c:v>
                </c:pt>
                <c:pt idx="36">
                  <c:v>8.0059372910263465E-2</c:v>
                </c:pt>
                <c:pt idx="37">
                  <c:v>7.7952547307361786E-2</c:v>
                </c:pt>
                <c:pt idx="38">
                  <c:v>7.5953764043070443E-2</c:v>
                </c:pt>
                <c:pt idx="39">
                  <c:v>7.4054919941993688E-2</c:v>
                </c:pt>
                <c:pt idx="40">
                  <c:v>7.2248702382432875E-2</c:v>
                </c:pt>
                <c:pt idx="41">
                  <c:v>7.0528495182851134E-2</c:v>
                </c:pt>
                <c:pt idx="42">
                  <c:v>6.8888297620459255E-2</c:v>
                </c:pt>
                <c:pt idx="43">
                  <c:v>6.732265449272154E-2</c:v>
                </c:pt>
                <c:pt idx="44">
                  <c:v>6.5826595503994403E-2</c:v>
                </c:pt>
                <c:pt idx="45">
                  <c:v>6.4395582558255393E-2</c:v>
                </c:pt>
                <c:pt idx="46">
                  <c:v>6.3025463780420163E-2</c:v>
                </c:pt>
                <c:pt idx="47">
                  <c:v>6.1712433284994733E-2</c:v>
                </c:pt>
                <c:pt idx="48">
                  <c:v>6.0452995871015255E-2</c:v>
                </c:pt>
                <c:pt idx="49">
                  <c:v>5.9243935953594958E-2</c:v>
                </c:pt>
                <c:pt idx="50">
                  <c:v>5.8082290150583284E-2</c:v>
                </c:pt>
                <c:pt idx="51">
                  <c:v>5.6965323032302846E-2</c:v>
                </c:pt>
                <c:pt idx="52">
                  <c:v>5.5890505616599015E-2</c:v>
                </c:pt>
                <c:pt idx="53">
                  <c:v>5.485549625332866E-2</c:v>
                </c:pt>
                <c:pt idx="54">
                  <c:v>5.3858123594177229E-2</c:v>
                </c:pt>
                <c:pt idx="55">
                  <c:v>5.2896371387138347E-2</c:v>
                </c:pt>
                <c:pt idx="56">
                  <c:v>5.1968364871574517E-2</c:v>
                </c:pt>
                <c:pt idx="57">
                  <c:v>5.1072358580685304E-2</c:v>
                </c:pt>
                <c:pt idx="58">
                  <c:v>5.0206725384402504E-2</c:v>
                </c:pt>
                <c:pt idx="59">
                  <c:v>4.9369946627995799E-2</c:v>
                </c:pt>
                <c:pt idx="60">
                  <c:v>4.8560603240651611E-2</c:v>
                </c:pt>
                <c:pt idx="61">
                  <c:v>4.7777367704512061E-2</c:v>
                </c:pt>
                <c:pt idx="62">
                  <c:v>4.701899678856742E-2</c:v>
                </c:pt>
                <c:pt idx="63">
                  <c:v>4.6284324963746057E-2</c:v>
                </c:pt>
                <c:pt idx="64">
                  <c:v>4.5572258425842276E-2</c:v>
                </c:pt>
                <c:pt idx="65">
                  <c:v>4.4881769661814362E-2</c:v>
                </c:pt>
                <c:pt idx="66">
                  <c:v>4.4211892502682801E-2</c:v>
                </c:pt>
                <c:pt idx="67">
                  <c:v>4.3561717612937464E-2</c:v>
                </c:pt>
                <c:pt idx="68">
                  <c:v>4.293038837217026E-2</c:v>
                </c:pt>
                <c:pt idx="69">
                  <c:v>4.2317097109710683E-2</c:v>
                </c:pt>
                <c:pt idx="70">
                  <c:v>4.1721081657461238E-2</c:v>
                </c:pt>
                <c:pt idx="71">
                  <c:v>4.1141622189996493E-2</c:v>
                </c:pt>
                <c:pt idx="72">
                  <c:v>4.0578038324380103E-2</c:v>
                </c:pt>
                <c:pt idx="73">
                  <c:v>4.0029686455131733E-2</c:v>
                </c:pt>
                <c:pt idx="74">
                  <c:v>3.9495957302396641E-2</c:v>
                </c:pt>
                <c:pt idx="75">
                  <c:v>3.8976273653680893E-2</c:v>
                </c:pt>
                <c:pt idx="76">
                  <c:v>3.8470088281555168E-2</c:v>
                </c:pt>
                <c:pt idx="77">
                  <c:v>3.7976882021535222E-2</c:v>
                </c:pt>
                <c:pt idx="78">
                  <c:v>3.749616199594618E-2</c:v>
                </c:pt>
                <c:pt idx="79">
                  <c:v>3.7027459970996844E-2</c:v>
                </c:pt>
                <c:pt idx="80">
                  <c:v>3.6570330835552438E-2</c:v>
                </c:pt>
                <c:pt idx="81">
                  <c:v>3.6124351191216438E-2</c:v>
                </c:pt>
                <c:pt idx="82">
                  <c:v>3.5689118044334313E-2</c:v>
                </c:pt>
                <c:pt idx="83">
                  <c:v>3.5264247591425567E-2</c:v>
                </c:pt>
                <c:pt idx="84">
                  <c:v>3.4849374090349973E-2</c:v>
                </c:pt>
                <c:pt idx="85">
                  <c:v>3.4444148810229627E-2</c:v>
                </c:pt>
                <c:pt idx="86">
                  <c:v>3.4048239053790202E-2</c:v>
                </c:pt>
                <c:pt idx="87">
                  <c:v>3.366132724636077E-2</c:v>
                </c:pt>
                <c:pt idx="88">
                  <c:v>3.32831100862893E-2</c:v>
                </c:pt>
                <c:pt idx="89">
                  <c:v>3.2913297751997202E-2</c:v>
                </c:pt>
                <c:pt idx="90">
                  <c:v>3.2551613161315912E-2</c:v>
                </c:pt>
                <c:pt idx="91">
                  <c:v>3.2197791279127697E-2</c:v>
                </c:pt>
                <c:pt idx="92">
                  <c:v>3.1851578469674707E-2</c:v>
                </c:pt>
                <c:pt idx="93">
                  <c:v>3.1512731890210081E-2</c:v>
                </c:pt>
                <c:pt idx="94">
                  <c:v>3.1181018922944708E-2</c:v>
                </c:pt>
                <c:pt idx="95">
                  <c:v>3.0856216642497367E-2</c:v>
                </c:pt>
                <c:pt idx="96">
                  <c:v>3.053811131628606E-2</c:v>
                </c:pt>
                <c:pt idx="97">
                  <c:v>3.0226497935507628E-2</c:v>
                </c:pt>
                <c:pt idx="98">
                  <c:v>2.9921179774542908E-2</c:v>
                </c:pt>
                <c:pt idx="99">
                  <c:v>2.9621967976797479E-2</c:v>
                </c:pt>
                <c:pt idx="100">
                  <c:v>2.9328681165146017E-2</c:v>
                </c:pt>
                <c:pt idx="101">
                  <c:v>2.9041145075291642E-2</c:v>
                </c:pt>
                <c:pt idx="102">
                  <c:v>2.8759192210482985E-2</c:v>
                </c:pt>
                <c:pt idx="103">
                  <c:v>2.8482661516151423E-2</c:v>
                </c:pt>
                <c:pt idx="104">
                  <c:v>2.8211398073140458E-2</c:v>
                </c:pt>
                <c:pt idx="105">
                  <c:v>2.7945252808299507E-2</c:v>
                </c:pt>
                <c:pt idx="106">
                  <c:v>2.7684082221306052E-2</c:v>
                </c:pt>
                <c:pt idx="107">
                  <c:v>2.742774812666433E-2</c:v>
                </c:pt>
                <c:pt idx="108">
                  <c:v>2.7176117409905942E-2</c:v>
                </c:pt>
                <c:pt idx="109">
                  <c:v>2.6929061797088615E-2</c:v>
                </c:pt>
                <c:pt idx="110">
                  <c:v>2.6686457636754486E-2</c:v>
                </c:pt>
                <c:pt idx="111">
                  <c:v>2.6448185693569173E-2</c:v>
                </c:pt>
                <c:pt idx="112">
                  <c:v>2.6214130952918122E-2</c:v>
                </c:pt>
                <c:pt idx="113">
                  <c:v>2.5984182435787258E-2</c:v>
                </c:pt>
                <c:pt idx="114">
                  <c:v>2.5758233023302157E-2</c:v>
                </c:pt>
                <c:pt idx="115">
                  <c:v>2.5536179290342652E-2</c:v>
                </c:pt>
                <c:pt idx="116">
                  <c:v>2.5317921347690155E-2</c:v>
                </c:pt>
                <c:pt idx="117">
                  <c:v>2.5103362692201252E-2</c:v>
                </c:pt>
                <c:pt idx="118">
                  <c:v>2.4892410064535696E-2</c:v>
                </c:pt>
                <c:pt idx="119">
                  <c:v>2.46849733139979E-2</c:v>
                </c:pt>
                <c:pt idx="120">
                  <c:v>2.4480965270080559E-2</c:v>
                </c:pt>
                <c:pt idx="121">
                  <c:v>2.4280301620325805E-2</c:v>
                </c:pt>
                <c:pt idx="122">
                  <c:v>2.4082900794144296E-2</c:v>
                </c:pt>
                <c:pt idx="123">
                  <c:v>2.388868385225603E-2</c:v>
                </c:pt>
                <c:pt idx="124">
                  <c:v>2.3697574381437981E-2</c:v>
                </c:pt>
                <c:pt idx="125">
                  <c:v>2.350949839428371E-2</c:v>
                </c:pt>
                <c:pt idx="126">
                  <c:v>2.33243842336988E-2</c:v>
                </c:pt>
                <c:pt idx="127">
                  <c:v>2.3142162481873028E-2</c:v>
                </c:pt>
                <c:pt idx="128">
                  <c:v>2.2962765873486415E-2</c:v>
                </c:pt>
                <c:pt idx="129">
                  <c:v>2.2786129212921138E-2</c:v>
                </c:pt>
                <c:pt idx="130">
                  <c:v>2.2612189295265251E-2</c:v>
                </c:pt>
                <c:pt idx="131">
                  <c:v>2.2440884830907181E-2</c:v>
                </c:pt>
                <c:pt idx="132">
                  <c:v>2.2272156373531936E-2</c:v>
                </c:pt>
                <c:pt idx="133">
                  <c:v>2.21059462513414E-2</c:v>
                </c:pt>
                <c:pt idx="134">
                  <c:v>2.1942198501331465E-2</c:v>
                </c:pt>
                <c:pt idx="135">
                  <c:v>2.1780858806468732E-2</c:v>
                </c:pt>
                <c:pt idx="136">
                  <c:v>2.1621874435618596E-2</c:v>
                </c:pt>
                <c:pt idx="137">
                  <c:v>2.146519418608513E-2</c:v>
                </c:pt>
                <c:pt idx="138">
                  <c:v>2.1310768328631279E-2</c:v>
                </c:pt>
                <c:pt idx="139">
                  <c:v>2.1158548554855341E-2</c:v>
                </c:pt>
                <c:pt idx="140">
                  <c:v>2.1008487926806721E-2</c:v>
                </c:pt>
                <c:pt idx="141">
                  <c:v>2.0860540828730619E-2</c:v>
                </c:pt>
                <c:pt idx="142">
                  <c:v>2.0714662920837398E-2</c:v>
                </c:pt>
                <c:pt idx="143">
                  <c:v>2.0570811094998247E-2</c:v>
                </c:pt>
                <c:pt idx="144">
                  <c:v>2.0428943432274121E-2</c:v>
                </c:pt>
                <c:pt idx="145">
                  <c:v>2.0289019162190051E-2</c:v>
                </c:pt>
                <c:pt idx="146">
                  <c:v>2.0150998623671753E-2</c:v>
                </c:pt>
                <c:pt idx="147">
                  <c:v>2.0014843227565866E-2</c:v>
                </c:pt>
                <c:pt idx="148">
                  <c:v>1.9880515420669449E-2</c:v>
                </c:pt>
                <c:pt idx="149">
                  <c:v>1.974797865119832E-2</c:v>
                </c:pt>
                <c:pt idx="150">
                  <c:v>1.961719733562747E-2</c:v>
                </c:pt>
                <c:pt idx="151">
                  <c:v>1.9488136826840446E-2</c:v>
                </c:pt>
                <c:pt idx="152">
                  <c:v>1.9360763383527765E-2</c:v>
                </c:pt>
                <c:pt idx="153">
                  <c:v>1.9235044140777584E-2</c:v>
                </c:pt>
                <c:pt idx="154">
                  <c:v>1.9110947081804826E-2</c:v>
                </c:pt>
                <c:pt idx="155">
                  <c:v>1.8988441010767611E-2</c:v>
                </c:pt>
                <c:pt idx="156">
                  <c:v>1.8867495526622598E-2</c:v>
                </c:pt>
                <c:pt idx="157">
                  <c:v>1.874808099797309E-2</c:v>
                </c:pt>
                <c:pt idx="158">
                  <c:v>1.8630168538866339E-2</c:v>
                </c:pt>
                <c:pt idx="159">
                  <c:v>1.8513729985498422E-2</c:v>
                </c:pt>
                <c:pt idx="160">
                  <c:v>1.8398737873787249E-2</c:v>
                </c:pt>
                <c:pt idx="161">
                  <c:v>1.8285165417776219E-2</c:v>
                </c:pt>
                <c:pt idx="162">
                  <c:v>1.817298648883281E-2</c:v>
                </c:pt>
                <c:pt idx="163">
                  <c:v>1.8062175595608219E-2</c:v>
                </c:pt>
                <c:pt idx="164">
                  <c:v>1.7952707864725744E-2</c:v>
                </c:pt>
                <c:pt idx="165">
                  <c:v>1.7844559022167156E-2</c:v>
                </c:pt>
                <c:pt idx="166">
                  <c:v>1.7737705375327831E-2</c:v>
                </c:pt>
                <c:pt idx="167">
                  <c:v>1.7632123795712783E-2</c:v>
                </c:pt>
                <c:pt idx="168">
                  <c:v>1.7527791702247029E-2</c:v>
                </c:pt>
                <c:pt idx="169">
                  <c:v>1.7424687045174986E-2</c:v>
                </c:pt>
                <c:pt idx="170">
                  <c:v>1.7322788290524839E-2</c:v>
                </c:pt>
                <c:pt idx="171">
                  <c:v>1.7222074405114814E-2</c:v>
                </c:pt>
                <c:pt idx="172">
                  <c:v>1.7122524842079465E-2</c:v>
                </c:pt>
                <c:pt idx="173">
                  <c:v>1.7024119526895101E-2</c:v>
                </c:pt>
                <c:pt idx="174">
                  <c:v>1.6926838843884271E-2</c:v>
                </c:pt>
                <c:pt idx="175">
                  <c:v>1.6830663623180385E-2</c:v>
                </c:pt>
                <c:pt idx="176">
                  <c:v>1.6735575128134169E-2</c:v>
                </c:pt>
                <c:pt idx="177">
                  <c:v>1.664155504314465E-2</c:v>
                </c:pt>
                <c:pt idx="178">
                  <c:v>1.6548585461898031E-2</c:v>
                </c:pt>
                <c:pt idx="179">
                  <c:v>1.6456648875998601E-2</c:v>
                </c:pt>
                <c:pt idx="180">
                  <c:v>1.6365728163976506E-2</c:v>
                </c:pt>
                <c:pt idx="181">
                  <c:v>1.6275806580657956E-2</c:v>
                </c:pt>
                <c:pt idx="182">
                  <c:v>1.6186867746883864E-2</c:v>
                </c:pt>
                <c:pt idx="183">
                  <c:v>1.6098895639563848E-2</c:v>
                </c:pt>
                <c:pt idx="184">
                  <c:v>1.6011874582052693E-2</c:v>
                </c:pt>
                <c:pt idx="185">
                  <c:v>1.5925789234837354E-2</c:v>
                </c:pt>
                <c:pt idx="186">
                  <c:v>1.5840624586522713E-2</c:v>
                </c:pt>
                <c:pt idx="187">
                  <c:v>1.5756365945105041E-2</c:v>
                </c:pt>
                <c:pt idx="188">
                  <c:v>1.5672998929522473E-2</c:v>
                </c:pt>
                <c:pt idx="189">
                  <c:v>1.5590509461472354E-2</c:v>
                </c:pt>
                <c:pt idx="190">
                  <c:v>1.5508883757485591E-2</c:v>
                </c:pt>
                <c:pt idx="191">
                  <c:v>1.5428108321248683E-2</c:v>
                </c:pt>
                <c:pt idx="192">
                  <c:v>1.5348169936164497E-2</c:v>
                </c:pt>
                <c:pt idx="193">
                  <c:v>1.526905565814303E-2</c:v>
                </c:pt>
                <c:pt idx="194">
                  <c:v>1.5190752808614091E-2</c:v>
                </c:pt>
                <c:pt idx="195">
                  <c:v>1.5113248967753814E-2</c:v>
                </c:pt>
                <c:pt idx="196">
                  <c:v>1.50365319679175E-2</c:v>
                </c:pt>
                <c:pt idx="197">
                  <c:v>1.4960589887271454E-2</c:v>
                </c:pt>
                <c:pt idx="198">
                  <c:v>1.4885411043616823E-2</c:v>
                </c:pt>
                <c:pt idx="199">
                  <c:v>1.4810983988398739E-2</c:v>
                </c:pt>
                <c:pt idx="200">
                  <c:v>1.4737297500894267E-2</c:v>
                </c:pt>
                <c:pt idx="201">
                  <c:v>1.4664340582573009E-2</c:v>
                </c:pt>
                <c:pt idx="202">
                  <c:v>1.4592102451624374E-2</c:v>
                </c:pt>
                <c:pt idx="203">
                  <c:v>1.4520572537645821E-2</c:v>
                </c:pt>
                <c:pt idx="204">
                  <c:v>1.4449740476486575E-2</c:v>
                </c:pt>
                <c:pt idx="205">
                  <c:v>1.4379596105241492E-2</c:v>
                </c:pt>
                <c:pt idx="206">
                  <c:v>1.4310129457390085E-2</c:v>
                </c:pt>
                <c:pt idx="207">
                  <c:v>1.4241330758075712E-2</c:v>
                </c:pt>
                <c:pt idx="208">
                  <c:v>1.4173190419520323E-2</c:v>
                </c:pt>
                <c:pt idx="209">
                  <c:v>1.4105699036570229E-2</c:v>
                </c:pt>
                <c:pt idx="210">
                  <c:v>1.4038847382368474E-2</c:v>
                </c:pt>
                <c:pt idx="211">
                  <c:v>1.3972626404149754E-2</c:v>
                </c:pt>
                <c:pt idx="212">
                  <c:v>1.3907027219153744E-2</c:v>
                </c:pt>
                <c:pt idx="213">
                  <c:v>1.3842041110653026E-2</c:v>
                </c:pt>
                <c:pt idx="214">
                  <c:v>1.3777659524091849E-2</c:v>
                </c:pt>
                <c:pt idx="215">
                  <c:v>1.3713874063332165E-2</c:v>
                </c:pt>
                <c:pt idx="216">
                  <c:v>1.3650676487003447E-2</c:v>
                </c:pt>
                <c:pt idx="217">
                  <c:v>1.3588058704952971E-2</c:v>
                </c:pt>
                <c:pt idx="218">
                  <c:v>1.3526012774793367E-2</c:v>
                </c:pt>
                <c:pt idx="219">
                  <c:v>1.3464530898544307E-2</c:v>
                </c:pt>
                <c:pt idx="220">
                  <c:v>1.3403605419365376E-2</c:v>
                </c:pt>
                <c:pt idx="221">
                  <c:v>1.3343228818377243E-2</c:v>
                </c:pt>
                <c:pt idx="222">
                  <c:v>1.3283393711568376E-2</c:v>
                </c:pt>
                <c:pt idx="223">
                  <c:v>1.3224092846784587E-2</c:v>
                </c:pt>
                <c:pt idx="224">
                  <c:v>1.316531910079888E-2</c:v>
                </c:pt>
                <c:pt idx="225">
                  <c:v>1.3107065476459061E-2</c:v>
                </c:pt>
                <c:pt idx="226">
                  <c:v>1.3049325099910785E-2</c:v>
                </c:pt>
                <c:pt idx="227">
                  <c:v>1.2992091217893629E-2</c:v>
                </c:pt>
                <c:pt idx="228">
                  <c:v>1.2935357195108068E-2</c:v>
                </c:pt>
                <c:pt idx="229">
                  <c:v>1.2879116511651079E-2</c:v>
                </c:pt>
                <c:pt idx="230">
                  <c:v>1.2823362760518389E-2</c:v>
                </c:pt>
                <c:pt idx="231">
                  <c:v>1.2768089645171326E-2</c:v>
                </c:pt>
                <c:pt idx="232">
                  <c:v>1.27132909771663E-2</c:v>
                </c:pt>
                <c:pt idx="233">
                  <c:v>1.2658960673845077E-2</c:v>
                </c:pt>
                <c:pt idx="234">
                  <c:v>1.2605092756084034E-2</c:v>
                </c:pt>
                <c:pt idx="235">
                  <c:v>1.2551681346100626E-2</c:v>
                </c:pt>
                <c:pt idx="236">
                  <c:v>1.2498720665315391E-2</c:v>
                </c:pt>
                <c:pt idx="237">
                  <c:v>1.2446205032267848E-2</c:v>
                </c:pt>
                <c:pt idx="238">
                  <c:v>1.2394128860584719E-2</c:v>
                </c:pt>
                <c:pt idx="239">
                  <c:v>1.234248665699895E-2</c:v>
                </c:pt>
                <c:pt idx="240">
                  <c:v>1.2291273019418042E-2</c:v>
                </c:pt>
                <c:pt idx="241">
                  <c:v>1.2240482635040279E-2</c:v>
                </c:pt>
                <c:pt idx="242">
                  <c:v>1.2190110278517482E-2</c:v>
                </c:pt>
                <c:pt idx="243">
                  <c:v>1.2140150810162903E-2</c:v>
                </c:pt>
                <c:pt idx="244">
                  <c:v>1.2090599174203054E-2</c:v>
                </c:pt>
                <c:pt idx="245">
                  <c:v>1.2041450397072148E-2</c:v>
                </c:pt>
                <c:pt idx="246">
                  <c:v>1.1992699585747967E-2</c:v>
                </c:pt>
                <c:pt idx="247">
                  <c:v>1.1944341926128015E-2</c:v>
                </c:pt>
                <c:pt idx="248">
                  <c:v>1.1896372681444769E-2</c:v>
                </c:pt>
                <c:pt idx="249">
                  <c:v>1.184878719071899E-2</c:v>
                </c:pt>
                <c:pt idx="250">
                  <c:v>1.1801580867249991E-2</c:v>
                </c:pt>
                <c:pt idx="251">
                  <c:v>1.1754749197141855E-2</c:v>
                </c:pt>
                <c:pt idx="252">
                  <c:v>1.1708287737864614E-2</c:v>
                </c:pt>
                <c:pt idx="253">
                  <c:v>1.16621921168494E-2</c:v>
                </c:pt>
                <c:pt idx="254">
                  <c:v>1.1616458030116657E-2</c:v>
                </c:pt>
                <c:pt idx="255">
                  <c:v>1.1571081240936514E-2</c:v>
                </c:pt>
                <c:pt idx="256">
                  <c:v>1.152605757852042E-2</c:v>
                </c:pt>
                <c:pt idx="257">
                  <c:v>1.1481382936743207E-2</c:v>
                </c:pt>
                <c:pt idx="258">
                  <c:v>1.1437053272894779E-2</c:v>
                </c:pt>
                <c:pt idx="259">
                  <c:v>1.1393064606460569E-2</c:v>
                </c:pt>
                <c:pt idx="260">
                  <c:v>1.1349413017930068E-2</c:v>
                </c:pt>
                <c:pt idx="261">
                  <c:v>1.1306094647632626E-2</c:v>
                </c:pt>
                <c:pt idx="262">
                  <c:v>1.1263105694599802E-2</c:v>
                </c:pt>
                <c:pt idx="263">
                  <c:v>1.1220442415453591E-2</c:v>
                </c:pt>
                <c:pt idx="264">
                  <c:v>1.1178101123319802E-2</c:v>
                </c:pt>
                <c:pt idx="265">
                  <c:v>1.1136078186765968E-2</c:v>
                </c:pt>
                <c:pt idx="266">
                  <c:v>1.1094370028763101E-2</c:v>
                </c:pt>
                <c:pt idx="267">
                  <c:v>1.10529731256707E-2</c:v>
                </c:pt>
                <c:pt idx="268">
                  <c:v>1.1011884006244414E-2</c:v>
                </c:pt>
                <c:pt idx="269">
                  <c:v>1.0971099250665733E-2</c:v>
                </c:pt>
                <c:pt idx="270">
                  <c:v>1.0930615489593164E-2</c:v>
                </c:pt>
                <c:pt idx="271">
                  <c:v>1.0890429403234366E-2</c:v>
                </c:pt>
                <c:pt idx="272">
                  <c:v>1.0850537720438636E-2</c:v>
                </c:pt>
                <c:pt idx="273">
                  <c:v>1.0810937217809298E-2</c:v>
                </c:pt>
                <c:pt idx="274">
                  <c:v>1.0771624718835445E-2</c:v>
                </c:pt>
                <c:pt idx="275">
                  <c:v>1.0732597093042565E-2</c:v>
                </c:pt>
                <c:pt idx="276">
                  <c:v>1.0693851255161544E-2</c:v>
                </c:pt>
                <c:pt idx="277">
                  <c:v>1.065538416431564E-2</c:v>
                </c:pt>
                <c:pt idx="278">
                  <c:v>1.0617192823224901E-2</c:v>
                </c:pt>
                <c:pt idx="279">
                  <c:v>1.0579274277427671E-2</c:v>
                </c:pt>
                <c:pt idx="280">
                  <c:v>1.0541625614518674E-2</c:v>
                </c:pt>
                <c:pt idx="281">
                  <c:v>1.050424396340336E-2</c:v>
                </c:pt>
                <c:pt idx="282">
                  <c:v>1.0467126493568013E-2</c:v>
                </c:pt>
                <c:pt idx="283">
                  <c:v>1.043027041436531E-2</c:v>
                </c:pt>
                <c:pt idx="284">
                  <c:v>1.0393672974314904E-2</c:v>
                </c:pt>
                <c:pt idx="285">
                  <c:v>1.0357331460418699E-2</c:v>
                </c:pt>
                <c:pt idx="286">
                  <c:v>1.032124319749041E-2</c:v>
                </c:pt>
                <c:pt idx="287">
                  <c:v>1.0285405547499123E-2</c:v>
                </c:pt>
                <c:pt idx="288">
                  <c:v>1.0249815908926463E-2</c:v>
                </c:pt>
                <c:pt idx="289">
                  <c:v>1.021447171613706E-2</c:v>
                </c:pt>
                <c:pt idx="290">
                  <c:v>1.017937043876202E-2</c:v>
                </c:pt>
                <c:pt idx="291">
                  <c:v>1.0144509581095026E-2</c:v>
                </c:pt>
                <c:pt idx="292">
                  <c:v>1.0109886681500846E-2</c:v>
                </c:pt>
                <c:pt idx="293">
                  <c:v>1.0075499311835876E-2</c:v>
                </c:pt>
                <c:pt idx="294">
                  <c:v>1.00413450768805E-2</c:v>
                </c:pt>
                <c:pt idx="295">
                  <c:v>1.0007421613782933E-2</c:v>
                </c:pt>
                <c:pt idx="296">
                  <c:v>9.9737265915143015E-3</c:v>
                </c:pt>
                <c:pt idx="297">
                  <c:v>9.9402577103347243E-3</c:v>
                </c:pt>
                <c:pt idx="298">
                  <c:v>9.9070127012700591E-3</c:v>
                </c:pt>
                <c:pt idx="299">
                  <c:v>9.8739893255991602E-3</c:v>
                </c:pt>
                <c:pt idx="300">
                  <c:v>9.8411853743513213E-3</c:v>
                </c:pt>
                <c:pt idx="301">
                  <c:v>9.8085986678137348E-3</c:v>
                </c:pt>
                <c:pt idx="302">
                  <c:v>9.7762270550486724E-3</c:v>
                </c:pt>
                <c:pt idx="303">
                  <c:v>9.7440684134202232E-3</c:v>
                </c:pt>
                <c:pt idx="304">
                  <c:v>9.7121206481303197E-3</c:v>
                </c:pt>
                <c:pt idx="305">
                  <c:v>9.6803816917638823E-3</c:v>
                </c:pt>
                <c:pt idx="306">
                  <c:v>9.6488495038428278E-3</c:v>
                </c:pt>
                <c:pt idx="307">
                  <c:v>9.6175220703887919E-3</c:v>
                </c:pt>
                <c:pt idx="308">
                  <c:v>9.5863974034943299E-3</c:v>
                </c:pt>
                <c:pt idx="309">
                  <c:v>9.5554735409024132E-3</c:v>
                </c:pt>
                <c:pt idx="310">
                  <c:v>9.5247485455940435E-3</c:v>
                </c:pt>
                <c:pt idx="311">
                  <c:v>9.4942205053838054E-3</c:v>
                </c:pt>
                <c:pt idx="312">
                  <c:v>9.4638875325231565E-3</c:v>
                </c:pt>
                <c:pt idx="313">
                  <c:v>9.4337477633112989E-3</c:v>
                </c:pt>
                <c:pt idx="314">
                  <c:v>9.4037993577134847E-3</c:v>
                </c:pt>
                <c:pt idx="315">
                  <c:v>9.3740404989865449E-3</c:v>
                </c:pt>
                <c:pt idx="316">
                  <c:v>9.3444693933115077E-3</c:v>
                </c:pt>
                <c:pt idx="317">
                  <c:v>9.3150842694331697E-3</c:v>
                </c:pt>
                <c:pt idx="318">
                  <c:v>9.2858833783064192E-3</c:v>
                </c:pt>
                <c:pt idx="319">
                  <c:v>9.256864992749211E-3</c:v>
                </c:pt>
                <c:pt idx="320">
                  <c:v>9.2280274071020168E-3</c:v>
                </c:pt>
                <c:pt idx="321">
                  <c:v>9.1993689368936246E-3</c:v>
                </c:pt>
                <c:pt idx="322">
                  <c:v>9.1708879185131518E-3</c:v>
                </c:pt>
                <c:pt idx="323">
                  <c:v>9.1425827088881095E-3</c:v>
                </c:pt>
                <c:pt idx="324">
                  <c:v>9.1144516851684541E-3</c:v>
                </c:pt>
                <c:pt idx="325">
                  <c:v>9.0864932444164048E-3</c:v>
                </c:pt>
                <c:pt idx="326">
                  <c:v>9.0587058033019825E-3</c:v>
                </c:pt>
                <c:pt idx="327">
                  <c:v>9.0310877978041094E-3</c:v>
                </c:pt>
                <c:pt idx="328">
                  <c:v>9.0036376829171656E-3</c:v>
                </c:pt>
                <c:pt idx="329">
                  <c:v>8.9763539323628721E-3</c:v>
                </c:pt>
                <c:pt idx="330">
                  <c:v>8.9492350383073953E-3</c:v>
                </c:pt>
                <c:pt idx="331">
                  <c:v>8.9222795110835782E-3</c:v>
                </c:pt>
                <c:pt idx="332">
                  <c:v>8.8954858789181621E-3</c:v>
                </c:pt>
                <c:pt idx="333">
                  <c:v>8.8688526876639154E-3</c:v>
                </c:pt>
                <c:pt idx="334">
                  <c:v>8.8423785005365615E-3</c:v>
                </c:pt>
                <c:pt idx="335">
                  <c:v>8.8160618978563917E-3</c:v>
                </c:pt>
                <c:pt idx="336">
                  <c:v>8.7899014767945042E-3</c:v>
                </c:pt>
                <c:pt idx="337">
                  <c:v>8.7638958511235144E-3</c:v>
                </c:pt>
                <c:pt idx="338">
                  <c:v>8.7380436509727072E-3</c:v>
                </c:pt>
                <c:pt idx="339">
                  <c:v>8.7123435225874932E-3</c:v>
                </c:pt>
                <c:pt idx="340">
                  <c:v>8.6867941280931015E-3</c:v>
                </c:pt>
                <c:pt idx="341">
                  <c:v>8.6613941452624195E-3</c:v>
                </c:pt>
                <c:pt idx="342">
                  <c:v>8.6361422672878926E-3</c:v>
                </c:pt>
                <c:pt idx="343">
                  <c:v>8.6110372025574068E-3</c:v>
                </c:pt>
                <c:pt idx="344">
                  <c:v>8.5860776744340513E-3</c:v>
                </c:pt>
                <c:pt idx="345">
                  <c:v>8.5612624210397326E-3</c:v>
                </c:pt>
                <c:pt idx="346">
                  <c:v>8.5365901950424997E-3</c:v>
                </c:pt>
                <c:pt idx="347">
                  <c:v>8.5120597634475506E-3</c:v>
                </c:pt>
                <c:pt idx="348">
                  <c:v>8.4876699073918264E-3</c:v>
                </c:pt>
                <c:pt idx="349">
                  <c:v>8.4634194219421355E-3</c:v>
                </c:pt>
                <c:pt idx="350">
                  <c:v>8.4393071158967176E-3</c:v>
                </c:pt>
                <c:pt idx="351">
                  <c:v>8.4153318115901925E-3</c:v>
                </c:pt>
                <c:pt idx="352">
                  <c:v>8.3914923447018352E-3</c:v>
                </c:pt>
                <c:pt idx="353">
                  <c:v>8.3677875640670845E-3</c:v>
                </c:pt>
                <c:pt idx="354">
                  <c:v>8.3442163314922466E-3</c:v>
                </c:pt>
                <c:pt idx="355">
                  <c:v>8.3207775215723249E-3</c:v>
                </c:pt>
                <c:pt idx="356">
                  <c:v>8.2974700215118994E-3</c:v>
                </c:pt>
                <c:pt idx="357">
                  <c:v>8.2742927309490157E-3</c:v>
                </c:pt>
                <c:pt idx="358">
                  <c:v>8.2512445617820267E-3</c:v>
                </c:pt>
                <c:pt idx="359">
                  <c:v>8.2283244379993004E-3</c:v>
                </c:pt>
                <c:pt idx="360">
                  <c:v>8.2055312955117664E-3</c:v>
                </c:pt>
                <c:pt idx="361">
                  <c:v>8.1828640819882528E-3</c:v>
                </c:pt>
                <c:pt idx="362">
                  <c:v>8.1603217566935202E-3</c:v>
                </c:pt>
                <c:pt idx="363">
                  <c:v>8.137903290328978E-3</c:v>
                </c:pt>
                <c:pt idx="364">
                  <c:v>8.1156076648760209E-3</c:v>
                </c:pt>
                <c:pt idx="365">
                  <c:v>8.0934338734419322E-3</c:v>
                </c:pt>
                <c:pt idx="366">
                  <c:v>8.071380920108305E-3</c:v>
                </c:pt>
                <c:pt idx="367">
                  <c:v>8.0494478197819241E-3</c:v>
                </c:pt>
                <c:pt idx="368">
                  <c:v>8.0276335980480965E-3</c:v>
                </c:pt>
                <c:pt idx="369">
                  <c:v>8.0059372910263465E-3</c:v>
                </c:pt>
                <c:pt idx="370">
                  <c:v>7.9843579452284312E-3</c:v>
                </c:pt>
                <c:pt idx="371">
                  <c:v>7.9628946174186768E-3</c:v>
                </c:pt>
                <c:pt idx="372">
                  <c:v>7.9415463744765356E-3</c:v>
                </c:pt>
                <c:pt idx="373">
                  <c:v>7.9203122932613567E-3</c:v>
                </c:pt>
                <c:pt idx="374">
                  <c:v>7.8991914604793264E-3</c:v>
                </c:pt>
                <c:pt idx="375">
                  <c:v>7.8781829725525204E-3</c:v>
                </c:pt>
                <c:pt idx="376">
                  <c:v>7.8572859354900451E-3</c:v>
                </c:pt>
                <c:pt idx="377">
                  <c:v>7.8364994647612367E-3</c:v>
                </c:pt>
                <c:pt idx="378">
                  <c:v>7.8158226851708385E-3</c:v>
                </c:pt>
                <c:pt idx="379">
                  <c:v>7.795254730736177E-3</c:v>
                </c:pt>
                <c:pt idx="380">
                  <c:v>7.7747947445662678E-3</c:v>
                </c:pt>
                <c:pt idx="381">
                  <c:v>7.7544418787427955E-3</c:v>
                </c:pt>
                <c:pt idx="382">
                  <c:v>7.7341952942029963E-3</c:v>
                </c:pt>
                <c:pt idx="383">
                  <c:v>7.7140541606243417E-3</c:v>
                </c:pt>
                <c:pt idx="384">
                  <c:v>7.6940176563110325E-3</c:v>
                </c:pt>
                <c:pt idx="385">
                  <c:v>7.6740849680822483E-3</c:v>
                </c:pt>
                <c:pt idx="386">
                  <c:v>7.6542552911621391E-3</c:v>
                </c:pt>
                <c:pt idx="387">
                  <c:v>7.6345278290715149E-3</c:v>
                </c:pt>
                <c:pt idx="388">
                  <c:v>7.6149017935212022E-3</c:v>
                </c:pt>
                <c:pt idx="389">
                  <c:v>7.5953764043070453E-3</c:v>
                </c:pt>
                <c:pt idx="390">
                  <c:v>7.5759508892065171E-3</c:v>
                </c:pt>
                <c:pt idx="391">
                  <c:v>7.5566244838769069E-3</c:v>
                </c:pt>
                <c:pt idx="392">
                  <c:v>7.537396431755084E-3</c:v>
                </c:pt>
                <c:pt idx="393">
                  <c:v>7.5182659839587501E-3</c:v>
                </c:pt>
                <c:pt idx="394">
                  <c:v>7.4992323991892353E-3</c:v>
                </c:pt>
                <c:pt idx="395">
                  <c:v>7.480294943635727E-3</c:v>
                </c:pt>
                <c:pt idx="396">
                  <c:v>7.4614528908809761E-3</c:v>
                </c:pt>
                <c:pt idx="397">
                  <c:v>7.4427055218084116E-3</c:v>
                </c:pt>
                <c:pt idx="398">
                  <c:v>7.4240521245106453E-3</c:v>
                </c:pt>
                <c:pt idx="399">
                  <c:v>7.4054919941993697E-3</c:v>
                </c:pt>
                <c:pt idx="400">
                  <c:v>7.3870244331165772E-3</c:v>
                </c:pt>
                <c:pt idx="401">
                  <c:v>7.3686487504471335E-3</c:v>
                </c:pt>
                <c:pt idx="402">
                  <c:v>7.3503642622326244E-3</c:v>
                </c:pt>
                <c:pt idx="403">
                  <c:v>7.3321702912865043E-3</c:v>
                </c:pt>
                <c:pt idx="404">
                  <c:v>7.3140661671104879E-3</c:v>
                </c:pt>
                <c:pt idx="405">
                  <c:v>7.2960512258121871E-3</c:v>
                </c:pt>
                <c:pt idx="406">
                  <c:v>7.2781248100239502E-3</c:v>
                </c:pt>
                <c:pt idx="407">
                  <c:v>7.2602862688229105E-3</c:v>
                </c:pt>
                <c:pt idx="408">
                  <c:v>7.2425349576521946E-3</c:v>
                </c:pt>
                <c:pt idx="409">
                  <c:v>7.2248702382432875E-3</c:v>
                </c:pt>
                <c:pt idx="410">
                  <c:v>7.2072914785395329E-3</c:v>
                </c:pt>
                <c:pt idx="411">
                  <c:v>7.1897980526207462E-3</c:v>
                </c:pt>
                <c:pt idx="412">
                  <c:v>7.1723893406289291E-3</c:v>
                </c:pt>
                <c:pt idx="413">
                  <c:v>7.1550647286950427E-3</c:v>
                </c:pt>
                <c:pt idx="414">
                  <c:v>7.1378236088668629E-3</c:v>
                </c:pt>
                <c:pt idx="415">
                  <c:v>7.1206653790378558E-3</c:v>
                </c:pt>
                <c:pt idx="416">
                  <c:v>7.1035894428770922E-3</c:v>
                </c:pt>
                <c:pt idx="417">
                  <c:v>7.0865952097601617E-3</c:v>
                </c:pt>
                <c:pt idx="418">
                  <c:v>7.0696820947010689E-3</c:v>
                </c:pt>
                <c:pt idx="419">
                  <c:v>7.0528495182851144E-3</c:v>
                </c:pt>
                <c:pt idx="420">
                  <c:v>7.0360969066027264E-3</c:v>
                </c:pt>
                <c:pt idx="421">
                  <c:v>7.0194236911842369E-3</c:v>
                </c:pt>
                <c:pt idx="422">
                  <c:v>7.0028293089355736E-3</c:v>
                </c:pt>
                <c:pt idx="423">
                  <c:v>6.9863132020748769E-3</c:v>
                </c:pt>
                <c:pt idx="424">
                  <c:v>6.9698748180699937E-3</c:v>
                </c:pt>
                <c:pt idx="425">
                  <c:v>6.9535136095768722E-3</c:v>
                </c:pt>
                <c:pt idx="426">
                  <c:v>6.9372290343787998E-3</c:v>
                </c:pt>
                <c:pt idx="427">
                  <c:v>6.921020555326513E-3</c:v>
                </c:pt>
                <c:pt idx="428">
                  <c:v>6.904887640279132E-3</c:v>
                </c:pt>
                <c:pt idx="429">
                  <c:v>6.8888297620459246E-3</c:v>
                </c:pt>
                <c:pt idx="430">
                  <c:v>6.8728463983288805E-3</c:v>
                </c:pt>
                <c:pt idx="431">
                  <c:v>6.8569370316660825E-3</c:v>
                </c:pt>
                <c:pt idx="432">
                  <c:v>6.8411011493758611E-3</c:v>
                </c:pt>
                <c:pt idx="433">
                  <c:v>6.8253382435017234E-3</c:v>
                </c:pt>
                <c:pt idx="434">
                  <c:v>6.8096478107580408E-3</c:v>
                </c:pt>
                <c:pt idx="435">
                  <c:v>6.7940293524764855E-3</c:v>
                </c:pt>
                <c:pt idx="436">
                  <c:v>6.778482374553199E-3</c:v>
                </c:pt>
                <c:pt idx="437">
                  <c:v>6.7630063873966835E-3</c:v>
                </c:pt>
                <c:pt idx="438">
                  <c:v>6.7476009058764184E-3</c:v>
                </c:pt>
                <c:pt idx="439">
                  <c:v>6.7322654492721536E-3</c:v>
                </c:pt>
                <c:pt idx="440">
                  <c:v>6.7169995412239185E-3</c:v>
                </c:pt>
                <c:pt idx="441">
                  <c:v>6.7018027096826882E-3</c:v>
                </c:pt>
                <c:pt idx="442">
                  <c:v>6.6866744868617324E-3</c:v>
                </c:pt>
                <c:pt idx="443">
                  <c:v>6.6716144091886215E-3</c:v>
                </c:pt>
                <c:pt idx="444">
                  <c:v>6.656622017257861E-3</c:v>
                </c:pt>
                <c:pt idx="445">
                  <c:v>6.6416968557841882E-3</c:v>
                </c:pt>
                <c:pt idx="446">
                  <c:v>6.6268384735564826E-3</c:v>
                </c:pt>
                <c:pt idx="447">
                  <c:v>6.6120464233922933E-3</c:v>
                </c:pt>
                <c:pt idx="448">
                  <c:v>6.5973202620929795E-3</c:v>
                </c:pt>
                <c:pt idx="449">
                  <c:v>6.5826595503994398E-3</c:v>
                </c:pt>
                <c:pt idx="450">
                  <c:v>6.5680638529484426E-3</c:v>
                </c:pt>
                <c:pt idx="451">
                  <c:v>6.5535327382295304E-3</c:v>
                </c:pt>
                <c:pt idx="452">
                  <c:v>6.5390657785424893E-3</c:v>
                </c:pt>
                <c:pt idx="453">
                  <c:v>6.5246625499553925E-3</c:v>
                </c:pt>
                <c:pt idx="454">
                  <c:v>6.5103226322631817E-3</c:v>
                </c:pt>
                <c:pt idx="455">
                  <c:v>6.4960456089468146E-3</c:v>
                </c:pt>
                <c:pt idx="456">
                  <c:v>6.4818310671329272E-3</c:v>
                </c:pt>
                <c:pt idx="457">
                  <c:v>6.4676785975540342E-3</c:v>
                </c:pt>
                <c:pt idx="458">
                  <c:v>6.4535877945092555E-3</c:v>
                </c:pt>
                <c:pt idx="459">
                  <c:v>6.4395582558255393E-3</c:v>
                </c:pt>
                <c:pt idx="460">
                  <c:v>6.4255895828194097E-3</c:v>
                </c:pt>
                <c:pt idx="461">
                  <c:v>6.4116813802591946E-3</c:v>
                </c:pt>
                <c:pt idx="462">
                  <c:v>6.3978332563277493E-3</c:v>
                </c:pt>
                <c:pt idx="463">
                  <c:v>6.384044822585663E-3</c:v>
                </c:pt>
                <c:pt idx="464">
                  <c:v>6.3703156939349413E-3</c:v>
                </c:pt>
                <c:pt idx="465">
                  <c:v>6.3566454885831498E-3</c:v>
                </c:pt>
                <c:pt idx="466">
                  <c:v>6.3430338280080255E-3</c:v>
                </c:pt>
                <c:pt idx="467">
                  <c:v>6.3294803369225387E-3</c:v>
                </c:pt>
                <c:pt idx="468">
                  <c:v>6.3159846432404004E-3</c:v>
                </c:pt>
                <c:pt idx="469">
                  <c:v>6.302546378042017E-3</c:v>
                </c:pt>
                <c:pt idx="470">
                  <c:v>6.2891651755408659E-3</c:v>
                </c:pt>
                <c:pt idx="471">
                  <c:v>6.2758406730503129E-3</c:v>
                </c:pt>
                <c:pt idx="472">
                  <c:v>6.2625725109508416E-3</c:v>
                </c:pt>
                <c:pt idx="473">
                  <c:v>6.2493603326576955E-3</c:v>
                </c:pt>
                <c:pt idx="474">
                  <c:v>6.2362037845889425E-3</c:v>
                </c:pt>
                <c:pt idx="475">
                  <c:v>6.2231025161339241E-3</c:v>
                </c:pt>
                <c:pt idx="476">
                  <c:v>6.2100561796221126E-3</c:v>
                </c:pt>
                <c:pt idx="477">
                  <c:v>6.1970644302923594E-3</c:v>
                </c:pt>
                <c:pt idx="478">
                  <c:v>6.1841269262625205E-3</c:v>
                </c:pt>
                <c:pt idx="479">
                  <c:v>6.1712433284994749E-3</c:v>
                </c:pt>
                <c:pt idx="480">
                  <c:v>6.1584133007894963E-3</c:v>
                </c:pt>
                <c:pt idx="481">
                  <c:v>6.145636509709021E-3</c:v>
                </c:pt>
                <c:pt idx="482">
                  <c:v>6.1329126245957518E-3</c:v>
                </c:pt>
                <c:pt idx="483">
                  <c:v>6.1202413175201397E-3</c:v>
                </c:pt>
                <c:pt idx="484">
                  <c:v>6.1076222632572121E-3</c:v>
                </c:pt>
                <c:pt idx="485">
                  <c:v>6.0950551392587411E-3</c:v>
                </c:pt>
                <c:pt idx="486">
                  <c:v>6.0825396256257653E-3</c:v>
                </c:pt>
                <c:pt idx="487">
                  <c:v>6.0700754050814513E-3</c:v>
                </c:pt>
                <c:pt idx="488">
                  <c:v>6.0576621629442702E-3</c:v>
                </c:pt>
                <c:pt idx="489">
                  <c:v>6.0452995871015268E-3</c:v>
                </c:pt>
                <c:pt idx="490">
                  <c:v>6.0329873679831926E-3</c:v>
                </c:pt>
                <c:pt idx="491">
                  <c:v>6.0207251985360741E-3</c:v>
                </c:pt>
                <c:pt idx="492">
                  <c:v>6.0085127741982712E-3</c:v>
                </c:pt>
                <c:pt idx="493">
                  <c:v>5.9963497928739833E-3</c:v>
                </c:pt>
                <c:pt idx="494">
                  <c:v>5.9842359549085811E-3</c:v>
                </c:pt>
                <c:pt idx="495">
                  <c:v>5.9721709630640076E-3</c:v>
                </c:pt>
                <c:pt idx="496">
                  <c:v>5.9601545224944631E-3</c:v>
                </c:pt>
                <c:pt idx="497">
                  <c:v>5.9481863407223846E-3</c:v>
                </c:pt>
                <c:pt idx="498">
                  <c:v>5.9362661276147251E-3</c:v>
                </c:pt>
                <c:pt idx="499">
                  <c:v>5.9243935953594952E-3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4D-4419-92DD-24C751BC08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1518079"/>
        <c:axId val="1861521823"/>
      </c:scatterChart>
      <c:valAx>
        <c:axId val="1861518079"/>
        <c:scaling>
          <c:orientation val="minMax"/>
          <c:max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1521823"/>
        <c:crosses val="autoZero"/>
        <c:crossBetween val="midCat"/>
      </c:valAx>
      <c:valAx>
        <c:axId val="1861521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15180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817147856517939E-2"/>
          <c:y val="0.1763562225176398"/>
          <c:w val="0.87762729658792649"/>
          <c:h val="0.61476759959460525"/>
        </c:manualLayout>
      </c:layout>
      <c:lineChart>
        <c:grouping val="standard"/>
        <c:varyColors val="0"/>
        <c:ser>
          <c:idx val="0"/>
          <c:order val="0"/>
          <c:tx>
            <c:v>Tree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'Tree vs BS (2)'!$A$10:$A$31</c:f>
              <c:numCache>
                <c:formatCode>General</c:formatCode>
                <c:ptCount val="22"/>
                <c:pt idx="0">
                  <c:v>89</c:v>
                </c:pt>
                <c:pt idx="1">
                  <c:v>90</c:v>
                </c:pt>
                <c:pt idx="2">
                  <c:v>91</c:v>
                </c:pt>
                <c:pt idx="3">
                  <c:v>92</c:v>
                </c:pt>
                <c:pt idx="4">
                  <c:v>93</c:v>
                </c:pt>
                <c:pt idx="5">
                  <c:v>94</c:v>
                </c:pt>
                <c:pt idx="6">
                  <c:v>95</c:v>
                </c:pt>
                <c:pt idx="7">
                  <c:v>96</c:v>
                </c:pt>
                <c:pt idx="8">
                  <c:v>97</c:v>
                </c:pt>
                <c:pt idx="9">
                  <c:v>98</c:v>
                </c:pt>
                <c:pt idx="10">
                  <c:v>99</c:v>
                </c:pt>
                <c:pt idx="11">
                  <c:v>100</c:v>
                </c:pt>
                <c:pt idx="12">
                  <c:v>101</c:v>
                </c:pt>
                <c:pt idx="13">
                  <c:v>102</c:v>
                </c:pt>
                <c:pt idx="14">
                  <c:v>103</c:v>
                </c:pt>
                <c:pt idx="15">
                  <c:v>104</c:v>
                </c:pt>
                <c:pt idx="16">
                  <c:v>105</c:v>
                </c:pt>
                <c:pt idx="17">
                  <c:v>106</c:v>
                </c:pt>
                <c:pt idx="18">
                  <c:v>107</c:v>
                </c:pt>
                <c:pt idx="19">
                  <c:v>108</c:v>
                </c:pt>
                <c:pt idx="20">
                  <c:v>109</c:v>
                </c:pt>
                <c:pt idx="21">
                  <c:v>110</c:v>
                </c:pt>
              </c:numCache>
            </c:numRef>
          </c:cat>
          <c:val>
            <c:numRef>
              <c:f>'Tree vs BS (2)'!$B$10:$B$31</c:f>
              <c:numCache>
                <c:formatCode>General</c:formatCode>
                <c:ptCount val="22"/>
                <c:pt idx="0">
                  <c:v>15.537124463504059</c:v>
                </c:pt>
                <c:pt idx="1">
                  <c:v>14.797870381461104</c:v>
                </c:pt>
                <c:pt idx="2">
                  <c:v>14.05861629941815</c:v>
                </c:pt>
                <c:pt idx="3">
                  <c:v>13.334168307705323</c:v>
                </c:pt>
                <c:pt idx="4">
                  <c:v>12.781134727799003</c:v>
                </c:pt>
                <c:pt idx="5">
                  <c:v>12.228101147892689</c:v>
                </c:pt>
                <c:pt idx="6">
                  <c:v>11.675067567986371</c:v>
                </c:pt>
                <c:pt idx="7">
                  <c:v>11.122033988080057</c:v>
                </c:pt>
                <c:pt idx="8">
                  <c:v>10.569000408173741</c:v>
                </c:pt>
                <c:pt idx="9">
                  <c:v>10.015966828267425</c:v>
                </c:pt>
                <c:pt idx="10">
                  <c:v>9.4629332483611091</c:v>
                </c:pt>
                <c:pt idx="11">
                  <c:v>8.9098996684547931</c:v>
                </c:pt>
                <c:pt idx="12">
                  <c:v>8.3568660885484771</c:v>
                </c:pt>
                <c:pt idx="13">
                  <c:v>7.8038325086421603</c:v>
                </c:pt>
                <c:pt idx="14">
                  <c:v>7.4489791845080244</c:v>
                </c:pt>
                <c:pt idx="15">
                  <c:v>7.0981980108626876</c:v>
                </c:pt>
                <c:pt idx="16">
                  <c:v>6.7474168372173491</c:v>
                </c:pt>
                <c:pt idx="17">
                  <c:v>6.3966356635720123</c:v>
                </c:pt>
                <c:pt idx="18">
                  <c:v>6.0458544899266746</c:v>
                </c:pt>
                <c:pt idx="19">
                  <c:v>5.695073316281337</c:v>
                </c:pt>
                <c:pt idx="20">
                  <c:v>5.3442921426359993</c:v>
                </c:pt>
                <c:pt idx="21">
                  <c:v>4.9935109689906625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90-424D-893A-F750F6F9996C}"/>
            </c:ext>
          </c:extLst>
        </c:ser>
        <c:ser>
          <c:idx val="1"/>
          <c:order val="1"/>
          <c:tx>
            <c:v>BS Price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'Tree vs BS (2)'!$A$10:$A$31</c:f>
              <c:numCache>
                <c:formatCode>General</c:formatCode>
                <c:ptCount val="22"/>
                <c:pt idx="0">
                  <c:v>89</c:v>
                </c:pt>
                <c:pt idx="1">
                  <c:v>90</c:v>
                </c:pt>
                <c:pt idx="2">
                  <c:v>91</c:v>
                </c:pt>
                <c:pt idx="3">
                  <c:v>92</c:v>
                </c:pt>
                <c:pt idx="4">
                  <c:v>93</c:v>
                </c:pt>
                <c:pt idx="5">
                  <c:v>94</c:v>
                </c:pt>
                <c:pt idx="6">
                  <c:v>95</c:v>
                </c:pt>
                <c:pt idx="7">
                  <c:v>96</c:v>
                </c:pt>
                <c:pt idx="8">
                  <c:v>97</c:v>
                </c:pt>
                <c:pt idx="9">
                  <c:v>98</c:v>
                </c:pt>
                <c:pt idx="10">
                  <c:v>99</c:v>
                </c:pt>
                <c:pt idx="11">
                  <c:v>100</c:v>
                </c:pt>
                <c:pt idx="12">
                  <c:v>101</c:v>
                </c:pt>
                <c:pt idx="13">
                  <c:v>102</c:v>
                </c:pt>
                <c:pt idx="14">
                  <c:v>103</c:v>
                </c:pt>
                <c:pt idx="15">
                  <c:v>104</c:v>
                </c:pt>
                <c:pt idx="16">
                  <c:v>105</c:v>
                </c:pt>
                <c:pt idx="17">
                  <c:v>106</c:v>
                </c:pt>
                <c:pt idx="18">
                  <c:v>107</c:v>
                </c:pt>
                <c:pt idx="19">
                  <c:v>108</c:v>
                </c:pt>
                <c:pt idx="20">
                  <c:v>109</c:v>
                </c:pt>
                <c:pt idx="21">
                  <c:v>110</c:v>
                </c:pt>
              </c:numCache>
            </c:numRef>
          </c:cat>
          <c:val>
            <c:numRef>
              <c:f>'Tree vs BS (2)'!$C$10:$C$31</c:f>
              <c:numCache>
                <c:formatCode>General</c:formatCode>
                <c:ptCount val="22"/>
                <c:pt idx="0">
                  <c:v>15.502859672568913</c:v>
                </c:pt>
                <c:pt idx="1">
                  <c:v>14.806507079369023</c:v>
                </c:pt>
                <c:pt idx="2">
                  <c:v>14.129059704956139</c:v>
                </c:pt>
                <c:pt idx="3">
                  <c:v>13.470832634078754</c:v>
                </c:pt>
                <c:pt idx="4">
                  <c:v>12.832084129928448</c:v>
                </c:pt>
                <c:pt idx="5">
                  <c:v>12.213015205649356</c:v>
                </c:pt>
                <c:pt idx="6">
                  <c:v>11.613769714225834</c:v>
                </c:pt>
                <c:pt idx="7">
                  <c:v>11.034434928245911</c:v>
                </c:pt>
                <c:pt idx="8">
                  <c:v>10.475042575850082</c:v>
                </c:pt>
                <c:pt idx="9">
                  <c:v>9.9355702950193869</c:v>
                </c:pt>
                <c:pt idx="10">
                  <c:v>9.4159434652139975</c:v>
                </c:pt>
                <c:pt idx="11">
                  <c:v>8.9160373732031992</c:v>
                </c:pt>
                <c:pt idx="12">
                  <c:v>8.4356796686724422</c:v>
                </c:pt>
                <c:pt idx="13">
                  <c:v>7.9746530647818128</c:v>
                </c:pt>
                <c:pt idx="14">
                  <c:v>7.5326982391986039</c:v>
                </c:pt>
                <c:pt idx="15">
                  <c:v>7.1095168921501344</c:v>
                </c:pt>
                <c:pt idx="16">
                  <c:v>6.704774919645037</c:v>
                </c:pt>
                <c:pt idx="17">
                  <c:v>6.3181056621016687</c:v>
                </c:pt>
                <c:pt idx="18">
                  <c:v>5.9491131911079131</c:v>
                </c:pt>
                <c:pt idx="19">
                  <c:v>5.5973755998295456</c:v>
                </c:pt>
                <c:pt idx="20">
                  <c:v>5.2624482656006606</c:v>
                </c:pt>
                <c:pt idx="21">
                  <c:v>4.9438670563920715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90-424D-893A-F750F6F99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6201311"/>
        <c:axId val="1749403551"/>
      </c:lineChart>
      <c:lineChart>
        <c:grouping val="standard"/>
        <c:varyColors val="0"/>
        <c:ser>
          <c:idx val="2"/>
          <c:order val="2"/>
          <c:tx>
            <c:v>Tree - BS -&gt;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'Tree vs BS (2)'!$A$10:$A$31</c:f>
              <c:numCache>
                <c:formatCode>General</c:formatCode>
                <c:ptCount val="22"/>
                <c:pt idx="0">
                  <c:v>89</c:v>
                </c:pt>
                <c:pt idx="1">
                  <c:v>90</c:v>
                </c:pt>
                <c:pt idx="2">
                  <c:v>91</c:v>
                </c:pt>
                <c:pt idx="3">
                  <c:v>92</c:v>
                </c:pt>
                <c:pt idx="4">
                  <c:v>93</c:v>
                </c:pt>
                <c:pt idx="5">
                  <c:v>94</c:v>
                </c:pt>
                <c:pt idx="6">
                  <c:v>95</c:v>
                </c:pt>
                <c:pt idx="7">
                  <c:v>96</c:v>
                </c:pt>
                <c:pt idx="8">
                  <c:v>97</c:v>
                </c:pt>
                <c:pt idx="9">
                  <c:v>98</c:v>
                </c:pt>
                <c:pt idx="10">
                  <c:v>99</c:v>
                </c:pt>
                <c:pt idx="11">
                  <c:v>100</c:v>
                </c:pt>
                <c:pt idx="12">
                  <c:v>101</c:v>
                </c:pt>
                <c:pt idx="13">
                  <c:v>102</c:v>
                </c:pt>
                <c:pt idx="14">
                  <c:v>103</c:v>
                </c:pt>
                <c:pt idx="15">
                  <c:v>104</c:v>
                </c:pt>
                <c:pt idx="16">
                  <c:v>105</c:v>
                </c:pt>
                <c:pt idx="17">
                  <c:v>106</c:v>
                </c:pt>
                <c:pt idx="18">
                  <c:v>107</c:v>
                </c:pt>
                <c:pt idx="19">
                  <c:v>108</c:v>
                </c:pt>
                <c:pt idx="20">
                  <c:v>109</c:v>
                </c:pt>
                <c:pt idx="21">
                  <c:v>110</c:v>
                </c:pt>
              </c:numCache>
            </c:numRef>
          </c:cat>
          <c:val>
            <c:numRef>
              <c:f>'Tree vs BS (2)'!$D$10:$D$31</c:f>
              <c:numCache>
                <c:formatCode>General</c:formatCode>
                <c:ptCount val="22"/>
                <c:pt idx="0">
                  <c:v>3.4264790935145228E-2</c:v>
                </c:pt>
                <c:pt idx="1">
                  <c:v>-8.6366979079190997E-3</c:v>
                </c:pt>
                <c:pt idx="2">
                  <c:v>-7.0443405537989889E-2</c:v>
                </c:pt>
                <c:pt idx="3">
                  <c:v>-0.13666432637343107</c:v>
                </c:pt>
                <c:pt idx="4">
                  <c:v>-5.0949402129445431E-2</c:v>
                </c:pt>
                <c:pt idx="5">
                  <c:v>1.508594224333315E-2</c:v>
                </c:pt>
                <c:pt idx="6">
                  <c:v>6.1297853760537535E-2</c:v>
                </c:pt>
                <c:pt idx="7">
                  <c:v>8.7599059834145621E-2</c:v>
                </c:pt>
                <c:pt idx="8">
                  <c:v>9.3957832323658508E-2</c:v>
                </c:pt>
                <c:pt idx="9">
                  <c:v>8.0396533248038082E-2</c:v>
                </c:pt>
                <c:pt idx="10">
                  <c:v>4.6989783147111552E-2</c:v>
                </c:pt>
                <c:pt idx="11">
                  <c:v>-6.1377047484061364E-3</c:v>
                </c:pt>
                <c:pt idx="12">
                  <c:v>-7.881358012396511E-2</c:v>
                </c:pt>
                <c:pt idx="13">
                  <c:v>-0.17082055613965252</c:v>
                </c:pt>
                <c:pt idx="14">
                  <c:v>-8.3719054690579497E-2</c:v>
                </c:pt>
                <c:pt idx="15">
                  <c:v>-1.1318881287446736E-2</c:v>
                </c:pt>
                <c:pt idx="16">
                  <c:v>4.264191757231206E-2</c:v>
                </c:pt>
                <c:pt idx="17">
                  <c:v>7.8530001470343613E-2</c:v>
                </c:pt>
                <c:pt idx="18">
                  <c:v>9.6741298818761479E-2</c:v>
                </c:pt>
                <c:pt idx="19">
                  <c:v>9.7697716451791372E-2</c:v>
                </c:pt>
                <c:pt idx="20">
                  <c:v>8.1843877035338686E-2</c:v>
                </c:pt>
                <c:pt idx="21">
                  <c:v>4.9643912598591022E-2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C90-424D-893A-F750F6F9996C}"/>
            </c:ext>
          </c:extLst>
        </c:ser>
        <c:ser>
          <c:idx val="3"/>
          <c:order val="3"/>
          <c:tx>
            <c:v>Slope BS -&gt;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'Tree vs BS (2)'!$A$11:$A$31</c:f>
              <c:numCache>
                <c:formatCode>General</c:formatCode>
                <c:ptCount val="2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  <c:pt idx="11">
                  <c:v>101</c:v>
                </c:pt>
                <c:pt idx="12">
                  <c:v>102</c:v>
                </c:pt>
                <c:pt idx="13">
                  <c:v>103</c:v>
                </c:pt>
                <c:pt idx="14">
                  <c:v>104</c:v>
                </c:pt>
                <c:pt idx="15">
                  <c:v>105</c:v>
                </c:pt>
                <c:pt idx="16">
                  <c:v>106</c:v>
                </c:pt>
                <c:pt idx="17">
                  <c:v>107</c:v>
                </c:pt>
                <c:pt idx="18">
                  <c:v>108</c:v>
                </c:pt>
                <c:pt idx="19">
                  <c:v>109</c:v>
                </c:pt>
                <c:pt idx="20">
                  <c:v>110</c:v>
                </c:pt>
              </c:numCache>
            </c:numRef>
          </c:cat>
          <c:val>
            <c:numRef>
              <c:f>'Tree vs BS (2)'!$E$11:$E$31</c:f>
              <c:numCache>
                <c:formatCode>General</c:formatCode>
                <c:ptCount val="21"/>
                <c:pt idx="0">
                  <c:v>-0.69635259319989018</c:v>
                </c:pt>
                <c:pt idx="1">
                  <c:v>-0.67744737441288372</c:v>
                </c:pt>
                <c:pt idx="2">
                  <c:v>-0.65822707087738586</c:v>
                </c:pt>
                <c:pt idx="3">
                  <c:v>-0.63874850415030515</c:v>
                </c:pt>
                <c:pt idx="4">
                  <c:v>-0.61906892427909277</c:v>
                </c:pt>
                <c:pt idx="5">
                  <c:v>-0.59924549142352213</c:v>
                </c:pt>
                <c:pt idx="6">
                  <c:v>-0.57933478597992227</c:v>
                </c:pt>
                <c:pt idx="7">
                  <c:v>-0.55939235239582885</c:v>
                </c:pt>
                <c:pt idx="8">
                  <c:v>-0.53947228083069554</c:v>
                </c:pt>
                <c:pt idx="9">
                  <c:v>-0.51962682980538943</c:v>
                </c:pt>
                <c:pt idx="10">
                  <c:v>-0.49990609201079828</c:v>
                </c:pt>
                <c:pt idx="11">
                  <c:v>-0.48035770453075699</c:v>
                </c:pt>
                <c:pt idx="12">
                  <c:v>-0.46102660389062944</c:v>
                </c:pt>
                <c:pt idx="13">
                  <c:v>-0.44195482558320887</c:v>
                </c:pt>
                <c:pt idx="14">
                  <c:v>-0.42318134704846955</c:v>
                </c:pt>
                <c:pt idx="15">
                  <c:v>-0.40474197250509736</c:v>
                </c:pt>
                <c:pt idx="16">
                  <c:v>-0.38666925754336834</c:v>
                </c:pt>
                <c:pt idx="17">
                  <c:v>-0.36899247099375554</c:v>
                </c:pt>
                <c:pt idx="18">
                  <c:v>-0.35173759127836757</c:v>
                </c:pt>
                <c:pt idx="19">
                  <c:v>-0.33492733422888499</c:v>
                </c:pt>
                <c:pt idx="20">
                  <c:v>-0.31858120920858912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90-424D-893A-F750F6F9996C}"/>
            </c:ext>
          </c:extLst>
        </c:ser>
        <c:ser>
          <c:idx val="4"/>
          <c:order val="4"/>
          <c:tx>
            <c:v>Slope Tree -&gt;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'Tree vs BS (2)'!$A$11:$A$31</c:f>
              <c:numCache>
                <c:formatCode>General</c:formatCode>
                <c:ptCount val="2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  <c:pt idx="11">
                  <c:v>101</c:v>
                </c:pt>
                <c:pt idx="12">
                  <c:v>102</c:v>
                </c:pt>
                <c:pt idx="13">
                  <c:v>103</c:v>
                </c:pt>
                <c:pt idx="14">
                  <c:v>104</c:v>
                </c:pt>
                <c:pt idx="15">
                  <c:v>105</c:v>
                </c:pt>
                <c:pt idx="16">
                  <c:v>106</c:v>
                </c:pt>
                <c:pt idx="17">
                  <c:v>107</c:v>
                </c:pt>
                <c:pt idx="18">
                  <c:v>108</c:v>
                </c:pt>
                <c:pt idx="19">
                  <c:v>109</c:v>
                </c:pt>
                <c:pt idx="20">
                  <c:v>110</c:v>
                </c:pt>
              </c:numCache>
            </c:numRef>
          </c:cat>
          <c:val>
            <c:numRef>
              <c:f>'Tree vs BS (2)'!$F$11:$F$31</c:f>
              <c:numCache>
                <c:formatCode>General</c:formatCode>
                <c:ptCount val="21"/>
                <c:pt idx="0">
                  <c:v>-0.73925408204295451</c:v>
                </c:pt>
                <c:pt idx="1">
                  <c:v>-0.73925408204295451</c:v>
                </c:pt>
                <c:pt idx="2">
                  <c:v>-0.72444799171282703</c:v>
                </c:pt>
                <c:pt idx="3">
                  <c:v>-0.55303357990631952</c:v>
                </c:pt>
                <c:pt idx="4">
                  <c:v>-0.55303357990631419</c:v>
                </c:pt>
                <c:pt idx="5">
                  <c:v>-0.55303357990631774</c:v>
                </c:pt>
                <c:pt idx="6">
                  <c:v>-0.55303357990631419</c:v>
                </c:pt>
                <c:pt idx="7">
                  <c:v>-0.55303357990631596</c:v>
                </c:pt>
                <c:pt idx="8">
                  <c:v>-0.55303357990631596</c:v>
                </c:pt>
                <c:pt idx="9">
                  <c:v>-0.55303357990631596</c:v>
                </c:pt>
                <c:pt idx="10">
                  <c:v>-0.55303357990631596</c:v>
                </c:pt>
                <c:pt idx="11">
                  <c:v>-0.55303357990631596</c:v>
                </c:pt>
                <c:pt idx="12">
                  <c:v>-0.55303357990631685</c:v>
                </c:pt>
                <c:pt idx="13">
                  <c:v>-0.35485332413413584</c:v>
                </c:pt>
                <c:pt idx="14">
                  <c:v>-0.35078117364533679</c:v>
                </c:pt>
                <c:pt idx="15">
                  <c:v>-0.35078117364533856</c:v>
                </c:pt>
                <c:pt idx="16">
                  <c:v>-0.35078117364533679</c:v>
                </c:pt>
                <c:pt idx="17">
                  <c:v>-0.35078117364533767</c:v>
                </c:pt>
                <c:pt idx="18">
                  <c:v>-0.35078117364533767</c:v>
                </c:pt>
                <c:pt idx="19">
                  <c:v>-0.35078117364533767</c:v>
                </c:pt>
                <c:pt idx="20">
                  <c:v>-0.35078117364533679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C90-424D-893A-F750F6F99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677199"/>
        <c:axId val="202679695"/>
      </c:lineChart>
      <c:catAx>
        <c:axId val="20162013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9403551"/>
        <c:crosses val="autoZero"/>
        <c:auto val="1"/>
        <c:lblAlgn val="ctr"/>
        <c:lblOffset val="100"/>
        <c:tickMarkSkip val="5"/>
        <c:noMultiLvlLbl val="0"/>
      </c:catAx>
      <c:valAx>
        <c:axId val="1749403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6201311"/>
        <c:crosses val="autoZero"/>
        <c:crossBetween val="between"/>
      </c:valAx>
      <c:valAx>
        <c:axId val="20267969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677199"/>
        <c:crosses val="max"/>
        <c:crossBetween val="between"/>
      </c:valAx>
      <c:catAx>
        <c:axId val="202677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267969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6.4791119860017496E-2"/>
          <c:y val="0.85625228034614487"/>
          <c:w val="0.85743110236220488"/>
          <c:h val="0.133669000157722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2" fmlaLink="DisplayOrNot" fmlaRange="$K$6:$K$7" noThreeD="1" sel="1" val="0"/>
</file>

<file path=xl/ctrlProps/ctrlProp3.xml><?xml version="1.0" encoding="utf-8"?>
<formControlPr xmlns="http://schemas.microsoft.com/office/spreadsheetml/2009/9/main" objectType="CheckBox" fmlaLink="IsAmerican" lockText="1" noThreeD="1"/>
</file>

<file path=xl/ctrlProps/ctrlProp4.xml><?xml version="1.0" encoding="utf-8"?>
<formControlPr xmlns="http://schemas.microsoft.com/office/spreadsheetml/2009/9/main" objectType="CheckBox" checked="Checked" fmlaLink="IsCall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3.xml"/><Relationship Id="rId4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0</xdr:rowOff>
    </xdr:from>
    <xdr:to>
      <xdr:col>0</xdr:col>
      <xdr:colOff>1504950</xdr:colOff>
      <xdr:row>15</xdr:row>
      <xdr:rowOff>12700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9050" y="698500"/>
          <a:ext cx="1485900" cy="2279650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>
              <a:solidFill>
                <a:schemeClr val="bg1"/>
              </a:solidFill>
            </a:rPr>
            <a:t>I</a:t>
          </a:r>
        </a:p>
        <a:p>
          <a:pPr algn="ctr"/>
          <a:r>
            <a:rPr lang="fr-FR" sz="1400" b="1">
              <a:solidFill>
                <a:schemeClr val="bg1"/>
              </a:solidFill>
            </a:rPr>
            <a:t>N</a:t>
          </a:r>
        </a:p>
        <a:p>
          <a:pPr algn="ctr"/>
          <a:r>
            <a:rPr lang="fr-FR" sz="1400" b="1">
              <a:solidFill>
                <a:schemeClr val="bg1"/>
              </a:solidFill>
            </a:rPr>
            <a:t>P</a:t>
          </a:r>
        </a:p>
        <a:p>
          <a:pPr algn="ctr"/>
          <a:r>
            <a:rPr lang="fr-FR" sz="1400" b="1">
              <a:solidFill>
                <a:schemeClr val="bg1"/>
              </a:solidFill>
            </a:rPr>
            <a:t>U</a:t>
          </a:r>
        </a:p>
        <a:p>
          <a:pPr algn="ctr"/>
          <a:r>
            <a:rPr lang="fr-FR" sz="1400" b="1">
              <a:solidFill>
                <a:schemeClr val="bg1"/>
              </a:solidFill>
            </a:rPr>
            <a:t>T</a:t>
          </a:r>
        </a:p>
        <a:p>
          <a:pPr algn="ctr"/>
          <a:r>
            <a:rPr lang="fr-FR" sz="1400" b="1">
              <a:solidFill>
                <a:schemeClr val="bg1"/>
              </a:solidFill>
            </a:rPr>
            <a:t>S</a:t>
          </a:r>
        </a:p>
        <a:p>
          <a:endParaRPr lang="fr-FR" sz="1100"/>
        </a:p>
      </xdr:txBody>
    </xdr:sp>
    <xdr:clientData/>
  </xdr:twoCellAnchor>
  <xdr:twoCellAnchor>
    <xdr:from>
      <xdr:col>0</xdr:col>
      <xdr:colOff>6350</xdr:colOff>
      <xdr:row>15</xdr:row>
      <xdr:rowOff>184150</xdr:rowOff>
    </xdr:from>
    <xdr:to>
      <xdr:col>0</xdr:col>
      <xdr:colOff>736600</xdr:colOff>
      <xdr:row>25</xdr:row>
      <xdr:rowOff>6350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350" y="3120091"/>
          <a:ext cx="730250" cy="1727200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fr-FR" sz="1400" b="1">
              <a:solidFill>
                <a:schemeClr val="bg1"/>
              </a:solidFill>
              <a:latin typeface="+mn-lt"/>
              <a:ea typeface="+mn-ea"/>
              <a:cs typeface="+mn-cs"/>
            </a:rPr>
            <a:t>O</a:t>
          </a:r>
        </a:p>
        <a:p>
          <a:pPr marL="0" indent="0" algn="ctr"/>
          <a:r>
            <a:rPr lang="fr-FR" sz="1400" b="1">
              <a:solidFill>
                <a:schemeClr val="bg1"/>
              </a:solidFill>
              <a:latin typeface="+mn-lt"/>
              <a:ea typeface="+mn-ea"/>
              <a:cs typeface="+mn-cs"/>
            </a:rPr>
            <a:t>U</a:t>
          </a:r>
        </a:p>
        <a:p>
          <a:pPr marL="0" indent="0" algn="ctr"/>
          <a:r>
            <a:rPr lang="fr-FR" sz="1400" b="1">
              <a:solidFill>
                <a:schemeClr val="bg1"/>
              </a:solidFill>
              <a:latin typeface="+mn-lt"/>
              <a:ea typeface="+mn-ea"/>
              <a:cs typeface="+mn-cs"/>
            </a:rPr>
            <a:t>T</a:t>
          </a:r>
        </a:p>
        <a:p>
          <a:pPr marL="0" indent="0" algn="ctr"/>
          <a:r>
            <a:rPr lang="fr-FR" sz="1400" b="1">
              <a:solidFill>
                <a:schemeClr val="bg1"/>
              </a:solidFill>
              <a:latin typeface="+mn-lt"/>
              <a:ea typeface="+mn-ea"/>
              <a:cs typeface="+mn-cs"/>
            </a:rPr>
            <a:t>P</a:t>
          </a:r>
        </a:p>
        <a:p>
          <a:pPr marL="0" indent="0" algn="ctr"/>
          <a:r>
            <a:rPr lang="fr-FR" sz="1400" b="1">
              <a:solidFill>
                <a:schemeClr val="bg1"/>
              </a:solidFill>
              <a:latin typeface="+mn-lt"/>
              <a:ea typeface="+mn-ea"/>
              <a:cs typeface="+mn-cs"/>
            </a:rPr>
            <a:t>U</a:t>
          </a:r>
        </a:p>
        <a:p>
          <a:pPr marL="0" indent="0" algn="ctr"/>
          <a:r>
            <a:rPr lang="fr-FR" sz="1400" b="1">
              <a:solidFill>
                <a:schemeClr val="bg1"/>
              </a:solidFill>
              <a:latin typeface="+mn-lt"/>
              <a:ea typeface="+mn-ea"/>
              <a:cs typeface="+mn-cs"/>
            </a:rPr>
            <a:t>T</a:t>
          </a:r>
        </a:p>
        <a:p>
          <a:pPr marL="0" indent="0" algn="ctr"/>
          <a:r>
            <a:rPr lang="fr-FR" sz="1400" b="1">
              <a:solidFill>
                <a:schemeClr val="bg1"/>
              </a:solidFill>
              <a:latin typeface="+mn-lt"/>
              <a:ea typeface="+mn-ea"/>
              <a:cs typeface="+mn-cs"/>
            </a:rPr>
            <a:t>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9525</xdr:rowOff>
        </xdr:from>
        <xdr:to>
          <xdr:col>10</xdr:col>
          <xdr:colOff>9525</xdr:colOff>
          <xdr:row>15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fr-FR" sz="3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5</xdr:row>
          <xdr:rowOff>38100</xdr:rowOff>
        </xdr:from>
        <xdr:to>
          <xdr:col>10</xdr:col>
          <xdr:colOff>9525</xdr:colOff>
          <xdr:row>6</xdr:row>
          <xdr:rowOff>142875</xdr:rowOff>
        </xdr:to>
        <xdr:sp macro="" textlink="">
          <xdr:nvSpPr>
            <xdr:cNvPr id="2051" name="Drop Down 3" descr="1 = Y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11</xdr:row>
          <xdr:rowOff>180975</xdr:rowOff>
        </xdr:from>
        <xdr:to>
          <xdr:col>3</xdr:col>
          <xdr:colOff>1066800</xdr:colOff>
          <xdr:row>13</xdr:row>
          <xdr:rowOff>0</xdr:rowOff>
        </xdr:to>
        <xdr:sp macro="" textlink="">
          <xdr:nvSpPr>
            <xdr:cNvPr id="2054" name="Check Box 6" descr=" rie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0</xdr:rowOff>
        </xdr:from>
        <xdr:to>
          <xdr:col>3</xdr:col>
          <xdr:colOff>1066800</xdr:colOff>
          <xdr:row>14</xdr:row>
          <xdr:rowOff>0</xdr:rowOff>
        </xdr:to>
        <xdr:sp macro="" textlink="">
          <xdr:nvSpPr>
            <xdr:cNvPr id="2055" name="Check Box 7" descr=" rien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571420</xdr:colOff>
      <xdr:row>10</xdr:row>
      <xdr:rowOff>157361</xdr:rowOff>
    </xdr:from>
    <xdr:to>
      <xdr:col>13</xdr:col>
      <xdr:colOff>238045</xdr:colOff>
      <xdr:row>26</xdr:row>
      <xdr:rowOff>34150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693964</xdr:colOff>
      <xdr:row>11</xdr:row>
      <xdr:rowOff>161472</xdr:rowOff>
    </xdr:from>
    <xdr:to>
      <xdr:col>20</xdr:col>
      <xdr:colOff>485588</xdr:colOff>
      <xdr:row>27</xdr:row>
      <xdr:rowOff>45357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179293</xdr:colOff>
      <xdr:row>2</xdr:row>
      <xdr:rowOff>52294</xdr:rowOff>
    </xdr:from>
    <xdr:to>
      <xdr:col>6</xdr:col>
      <xdr:colOff>239060</xdr:colOff>
      <xdr:row>4</xdr:row>
      <xdr:rowOff>268941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79293" y="425823"/>
          <a:ext cx="5423649" cy="100853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/>
            <a:t>This part is</a:t>
          </a:r>
          <a:r>
            <a:rPr lang="fr-FR" sz="1100" baseline="0"/>
            <a:t> for this option type :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European Call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Spot@ 100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Strike@100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(IR=2,00%,  Vol=20,00%, Div=0 and Time=1,00 year(s))</a:t>
          </a:r>
          <a:endParaRPr lang="fr-FR">
            <a:effectLst/>
          </a:endParaRPr>
        </a:p>
        <a:p>
          <a:pPr algn="ctr"/>
          <a:r>
            <a:rPr lang="fr-FR" sz="1100" b="1">
              <a:solidFill>
                <a:srgbClr val="FF0000"/>
              </a:solidFill>
            </a:rPr>
            <a:t>To change the option type, please change the constant</a:t>
          </a:r>
          <a:r>
            <a:rPr lang="fr-FR" sz="1100" b="1" baseline="0">
              <a:solidFill>
                <a:srgbClr val="FF0000"/>
              </a:solidFill>
            </a:rPr>
            <a:t> in the VBA module : 'treevsbs1'</a:t>
          </a:r>
          <a:endParaRPr lang="fr-FR" sz="1100" b="1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1200150</xdr:colOff>
          <xdr:row>5</xdr:row>
          <xdr:rowOff>66675</xdr:rowOff>
        </xdr:from>
        <xdr:to>
          <xdr:col>4</xdr:col>
          <xdr:colOff>447675</xdr:colOff>
          <xdr:row>7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compute and import the prices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112058</xdr:colOff>
      <xdr:row>11</xdr:row>
      <xdr:rowOff>231588</xdr:rowOff>
    </xdr:from>
    <xdr:to>
      <xdr:col>3</xdr:col>
      <xdr:colOff>1230943</xdr:colOff>
      <xdr:row>11</xdr:row>
      <xdr:rowOff>410882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89940" y="3742764"/>
          <a:ext cx="1118885" cy="179294"/>
        </a:xfrm>
        <a:prstGeom prst="rect">
          <a:avLst/>
        </a:prstGeom>
      </xdr:spPr>
    </xdr:pic>
    <xdr:clientData/>
  </xdr:twoCellAnchor>
  <xdr:twoCellAnchor editAs="oneCell">
    <xdr:from>
      <xdr:col>4</xdr:col>
      <xdr:colOff>112059</xdr:colOff>
      <xdr:row>11</xdr:row>
      <xdr:rowOff>224119</xdr:rowOff>
    </xdr:from>
    <xdr:to>
      <xdr:col>4</xdr:col>
      <xdr:colOff>1285290</xdr:colOff>
      <xdr:row>11</xdr:row>
      <xdr:rowOff>571500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16824" y="4011707"/>
          <a:ext cx="1173231" cy="347381"/>
        </a:xfrm>
        <a:prstGeom prst="rect">
          <a:avLst/>
        </a:prstGeom>
      </xdr:spPr>
    </xdr:pic>
    <xdr:clientData/>
  </xdr:twoCellAnchor>
  <xdr:twoCellAnchor>
    <xdr:from>
      <xdr:col>5</xdr:col>
      <xdr:colOff>709706</xdr:colOff>
      <xdr:row>28</xdr:row>
      <xdr:rowOff>59765</xdr:rowOff>
    </xdr:from>
    <xdr:to>
      <xdr:col>13</xdr:col>
      <xdr:colOff>376331</xdr:colOff>
      <xdr:row>45</xdr:row>
      <xdr:rowOff>134525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0.12708</cdr:x>
      <cdr:y>0.11541</cdr:y>
    </cdr:from>
    <cdr:to>
      <cdr:x>0.92431</cdr:x>
      <cdr:y>0.1645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95898C83-E463-4787-AAA2-4F1B20387F5E}"/>
            </a:ext>
          </a:extLst>
        </cdr:cNvPr>
        <cdr:cNvSpPr txBox="1"/>
      </cdr:nvSpPr>
      <cdr:spPr>
        <a:xfrm xmlns:a="http://schemas.openxmlformats.org/drawingml/2006/main">
          <a:off x="581025" y="313445"/>
          <a:ext cx="3644900" cy="1333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0.05895</cdr:x>
      <cdr:y>0.09143</cdr:y>
    </cdr:from>
    <cdr:to>
      <cdr:x>1</cdr:x>
      <cdr:y>0.21017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EB4CEE56-7CF6-4345-86BA-D6DC1FC04616}"/>
            </a:ext>
          </a:extLst>
        </cdr:cNvPr>
        <cdr:cNvSpPr txBox="1"/>
      </cdr:nvSpPr>
      <cdr:spPr>
        <a:xfrm xmlns:a="http://schemas.openxmlformats.org/drawingml/2006/main">
          <a:off x="339726" y="255177"/>
          <a:ext cx="5422899" cy="3313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 baseline="0"/>
            <a:t>European Call</a:t>
          </a:r>
          <a:r>
            <a:rPr lang="en-US" sz="1100"/>
            <a:t> Spot@ 100</a:t>
          </a:r>
          <a:r>
            <a:rPr lang="en-US" sz="1100" baseline="0"/>
            <a:t> Strike@100</a:t>
          </a:r>
          <a:r>
            <a:rPr lang="en-US" sz="1100"/>
            <a:t> (IR=2,00%,  Vol=20,00%, Div=0 and Time=1,00 year(s))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0.07303</cdr:x>
      <cdr:y>0.01397</cdr:y>
    </cdr:from>
    <cdr:to>
      <cdr:x>0.95045</cdr:x>
      <cdr:y>0.12812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80D4BC84-B5DA-4EE3-9152-4E3386079B6E}"/>
            </a:ext>
          </a:extLst>
        </cdr:cNvPr>
        <cdr:cNvSpPr txBox="1"/>
      </cdr:nvSpPr>
      <cdr:spPr>
        <a:xfrm xmlns:a="http://schemas.openxmlformats.org/drawingml/2006/main">
          <a:off x="374330" y="40233"/>
          <a:ext cx="4497294" cy="328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FR" sz="1400" b="1"/>
            <a:t>Convergence of the Tree Price to the Black</a:t>
          </a:r>
          <a:r>
            <a:rPr lang="fr-FR" sz="1400" b="1" baseline="0"/>
            <a:t> Scholes Price</a:t>
          </a:r>
          <a:endParaRPr lang="fr-FR" sz="1400" b="1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0.12708</cdr:x>
      <cdr:y>0.11541</cdr:y>
    </cdr:from>
    <cdr:to>
      <cdr:x>0.92431</cdr:x>
      <cdr:y>0.1645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95898C83-E463-4787-AAA2-4F1B20387F5E}"/>
            </a:ext>
          </a:extLst>
        </cdr:cNvPr>
        <cdr:cNvSpPr txBox="1"/>
      </cdr:nvSpPr>
      <cdr:spPr>
        <a:xfrm xmlns:a="http://schemas.openxmlformats.org/drawingml/2006/main">
          <a:off x="581025" y="313445"/>
          <a:ext cx="3644900" cy="1333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0.05895</cdr:x>
      <cdr:y>0.09143</cdr:y>
    </cdr:from>
    <cdr:to>
      <cdr:x>1</cdr:x>
      <cdr:y>0.21017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EB4CEE56-7CF6-4345-86BA-D6DC1FC04616}"/>
            </a:ext>
          </a:extLst>
        </cdr:cNvPr>
        <cdr:cNvSpPr txBox="1"/>
      </cdr:nvSpPr>
      <cdr:spPr>
        <a:xfrm xmlns:a="http://schemas.openxmlformats.org/drawingml/2006/main">
          <a:off x="339726" y="255177"/>
          <a:ext cx="5422899" cy="3313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 baseline="0"/>
            <a:t>European Call</a:t>
          </a:r>
          <a:r>
            <a:rPr lang="en-US" sz="1100"/>
            <a:t> Spot@ 100</a:t>
          </a:r>
          <a:r>
            <a:rPr lang="en-US" sz="1100" baseline="0"/>
            <a:t> Strike@100</a:t>
          </a:r>
          <a:r>
            <a:rPr lang="en-US" sz="1100"/>
            <a:t> (IR=2,00%,  Vol=20,00%, Div=0 and Time=1,00 year(s))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164526</xdr:colOff>
      <xdr:row>8</xdr:row>
      <xdr:rowOff>3137</xdr:rowOff>
    </xdr:from>
    <xdr:to>
      <xdr:col>12</xdr:col>
      <xdr:colOff>164526</xdr:colOff>
      <xdr:row>26</xdr:row>
      <xdr:rowOff>86452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374880</xdr:colOff>
      <xdr:row>2</xdr:row>
      <xdr:rowOff>61205</xdr:rowOff>
    </xdr:from>
    <xdr:to>
      <xdr:col>4</xdr:col>
      <xdr:colOff>436085</xdr:colOff>
      <xdr:row>3</xdr:row>
      <xdr:rowOff>168313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74880" y="428434"/>
          <a:ext cx="3121446" cy="49728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>
              <a:solidFill>
                <a:srgbClr val="FF0000"/>
              </a:solidFill>
            </a:rPr>
            <a:t>This part uses the inputs that the</a:t>
          </a:r>
          <a:r>
            <a:rPr lang="fr-FR" sz="1100" baseline="0">
              <a:solidFill>
                <a:srgbClr val="FF0000"/>
              </a:solidFill>
            </a:rPr>
            <a:t> </a:t>
          </a:r>
          <a:r>
            <a:rPr lang="fr-FR" sz="1100" b="1" baseline="0">
              <a:solidFill>
                <a:srgbClr val="FF0000"/>
              </a:solidFill>
            </a:rPr>
            <a:t>user chose  </a:t>
          </a:r>
        </a:p>
        <a:p>
          <a:pPr algn="ctr"/>
          <a:r>
            <a:rPr lang="fr-FR" sz="1100" baseline="0">
              <a:solidFill>
                <a:srgbClr val="FF0000"/>
              </a:solidFill>
            </a:rPr>
            <a:t>(cf "Pricer" worksheet).  --&gt;</a:t>
          </a:r>
          <a:endParaRPr lang="fr-FR" sz="11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285750</xdr:rowOff>
        </xdr:from>
        <xdr:to>
          <xdr:col>3</xdr:col>
          <xdr:colOff>409575</xdr:colOff>
          <xdr:row>5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compute and import the prices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0.03125</cdr:x>
      <cdr:y>0.03671</cdr:y>
    </cdr:from>
    <cdr:to>
      <cdr:x>0.97431</cdr:x>
      <cdr:y>0.17364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01103AAA-95C9-46FD-BA8F-D2103B3CE8A9}"/>
            </a:ext>
          </a:extLst>
        </cdr:cNvPr>
        <cdr:cNvSpPr txBox="1"/>
      </cdr:nvSpPr>
      <cdr:spPr>
        <a:xfrm xmlns:a="http://schemas.openxmlformats.org/drawingml/2006/main">
          <a:off x="142875" y="117735"/>
          <a:ext cx="4311650" cy="4390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FR" sz="1400" b="1"/>
            <a:t>Tree vs Black-Scholes prices as functions of the strike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6</xdr:row>
      <xdr:rowOff>186764</xdr:rowOff>
    </xdr:from>
    <xdr:to>
      <xdr:col>0</xdr:col>
      <xdr:colOff>755650</xdr:colOff>
      <xdr:row>10</xdr:row>
      <xdr:rowOff>6350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700" y="1135529"/>
          <a:ext cx="742950" cy="1918821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>
              <a:solidFill>
                <a:schemeClr val="bg1"/>
              </a:solidFill>
            </a:rPr>
            <a:t>S</a:t>
          </a:r>
        </a:p>
        <a:p>
          <a:pPr algn="ctr"/>
          <a:r>
            <a:rPr lang="fr-FR" sz="1800" b="1">
              <a:solidFill>
                <a:schemeClr val="bg1"/>
              </a:solidFill>
            </a:rPr>
            <a:t>T</a:t>
          </a:r>
        </a:p>
        <a:p>
          <a:pPr algn="ctr"/>
          <a:r>
            <a:rPr lang="fr-FR" sz="1800" b="1">
              <a:solidFill>
                <a:schemeClr val="bg1"/>
              </a:solidFill>
            </a:rPr>
            <a:t>R</a:t>
          </a:r>
        </a:p>
        <a:p>
          <a:pPr algn="ctr"/>
          <a:r>
            <a:rPr lang="fr-FR" sz="1800" b="1">
              <a:solidFill>
                <a:schemeClr val="bg1"/>
              </a:solidFill>
            </a:rPr>
            <a:t>I</a:t>
          </a:r>
        </a:p>
        <a:p>
          <a:pPr algn="ctr"/>
          <a:r>
            <a:rPr lang="fr-FR" sz="1800" b="1">
              <a:solidFill>
                <a:schemeClr val="bg1"/>
              </a:solidFill>
            </a:rPr>
            <a:t>K</a:t>
          </a:r>
        </a:p>
        <a:p>
          <a:pPr algn="ctr"/>
          <a:r>
            <a:rPr lang="fr-FR" sz="1800" b="1">
              <a:solidFill>
                <a:schemeClr val="bg1"/>
              </a:solidFill>
            </a:rPr>
            <a:t>E</a:t>
          </a:r>
          <a:endParaRPr lang="fr-FR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332814</xdr:colOff>
      <xdr:row>11</xdr:row>
      <xdr:rowOff>4962</xdr:rowOff>
    </xdr:from>
    <xdr:to>
      <xdr:col>3</xdr:col>
      <xdr:colOff>326571</xdr:colOff>
      <xdr:row>34</xdr:row>
      <xdr:rowOff>9071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332814" y="3388605"/>
          <a:ext cx="2279757" cy="41769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a)  American Call @ 90 with 10 steps (IR=2,00%,  Vol=20,00%, Div=1 and Time=1,00 year(s)) </a:t>
          </a:r>
        </a:p>
        <a:p>
          <a:endParaRPr lang="fr-FR" sz="1100"/>
        </a:p>
        <a:p>
          <a:r>
            <a:rPr lang="fr-FR" sz="1100"/>
            <a:t>b) American Call @ 100 with 10 steps (IR=2,00%,  Vol=20,00%, Div=1 and Time=1,00 year(s)) </a:t>
          </a:r>
        </a:p>
        <a:p>
          <a:endParaRPr lang="fr-FR" sz="1100"/>
        </a:p>
        <a:p>
          <a:r>
            <a:rPr lang="fr-FR" sz="1100"/>
            <a:t>c) American Call @ 110 with 10 steps (IR=2,00%,  Vol=20,00%, Div=1 and Time=1,00 year(s)) </a:t>
          </a:r>
        </a:p>
        <a:p>
          <a:endParaRPr lang="fr-FR" sz="1100"/>
        </a:p>
        <a:p>
          <a:r>
            <a:rPr lang="fr-FR" sz="1100"/>
            <a:t>d) European Call @ 90 with 10 steps (IR=2,00%,  Vol=20,00%, Div=1 and Time=1,00 year(s)) </a:t>
          </a:r>
        </a:p>
        <a:p>
          <a:endParaRPr lang="fr-FR" sz="1100"/>
        </a:p>
        <a:p>
          <a:r>
            <a:rPr lang="fr-FR" sz="1100"/>
            <a:t>e) European Call @ 100 with 10 steps (IR=2,00%,  Vol=20,00%, Div=1 and Time=1,00 year(s)) </a:t>
          </a:r>
        </a:p>
        <a:p>
          <a:endParaRPr lang="fr-FR" sz="1100"/>
        </a:p>
        <a:p>
          <a:r>
            <a:rPr lang="fr-FR" sz="1100"/>
            <a:t>f)European Call @ 110 with 10 steps (IR=2,00%,  Vol=20,00%, Div=1 and Time=1,00 year(s)) </a:t>
          </a:r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</xdr:txBody>
    </xdr:sp>
    <xdr:clientData/>
  </xdr:twoCellAnchor>
  <xdr:twoCellAnchor>
    <xdr:from>
      <xdr:col>3</xdr:col>
      <xdr:colOff>480786</xdr:colOff>
      <xdr:row>11</xdr:row>
      <xdr:rowOff>7470</xdr:rowOff>
    </xdr:from>
    <xdr:to>
      <xdr:col>6</xdr:col>
      <xdr:colOff>562427</xdr:colOff>
      <xdr:row>34</xdr:row>
      <xdr:rowOff>9071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2766786" y="3391113"/>
          <a:ext cx="2367641" cy="41744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g) American Call @ 90 with 10 steps (IR=-2,00%,  Vol=20,00%, Div=1 and Time=1,00 year(s)) </a:t>
          </a:r>
        </a:p>
        <a:p>
          <a:endParaRPr lang="fr-FR" sz="1100"/>
        </a:p>
        <a:p>
          <a:r>
            <a:rPr lang="fr-FR" sz="1100"/>
            <a:t>h) American Call @ 100 with 10 steps (IR=-2,00%,  Vol=20,00%, Div=1 and Time=1,00 year(s)) </a:t>
          </a:r>
        </a:p>
        <a:p>
          <a:endParaRPr lang="fr-FR" sz="1100"/>
        </a:p>
        <a:p>
          <a:r>
            <a:rPr lang="fr-FR" sz="1100"/>
            <a:t>i) American Call @ 110 with 10 steps (IR=-2,00%,  Vol=20,00%, Div=1 and Time=1,00 year(s)) </a:t>
          </a:r>
        </a:p>
        <a:p>
          <a:endParaRPr lang="fr-FR" sz="1100"/>
        </a:p>
        <a:p>
          <a:r>
            <a:rPr lang="fr-FR" sz="1100"/>
            <a:t>j) European Call @ 90 with 10 steps (IR=-2,00%,  Vol=20,00%, Div=1 and Time=1,00 year(s)) </a:t>
          </a:r>
        </a:p>
        <a:p>
          <a:endParaRPr lang="fr-FR" sz="1100"/>
        </a:p>
        <a:p>
          <a:r>
            <a:rPr lang="fr-FR" sz="1100"/>
            <a:t>k) European Call @ 100 with 10 steps (IR=-2,00%,  Vol=20,00%, Div=1 and Time=1,00 year(s)) </a:t>
          </a:r>
        </a:p>
        <a:p>
          <a:endParaRPr lang="fr-FR" sz="1100"/>
        </a:p>
        <a:p>
          <a:r>
            <a:rPr lang="fr-FR" sz="1100"/>
            <a:t>l)</a:t>
          </a:r>
          <a:r>
            <a:rPr lang="fr-FR" sz="1100" baseline="0"/>
            <a:t> </a:t>
          </a:r>
          <a:r>
            <a:rPr lang="fr-F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European Call @ 110 with 10 steps (IR=-2,00%,  Vol=20,00%, Div=1 and Time=1,00 year(s))</a:t>
          </a:r>
          <a:r>
            <a:rPr lang="fr-FR"/>
            <a:t> </a:t>
          </a:r>
          <a:endParaRPr lang="fr-FR" sz="1100"/>
        </a:p>
        <a:p>
          <a:endParaRPr lang="fr-FR" sz="1100"/>
        </a:p>
      </xdr:txBody>
    </xdr:sp>
    <xdr:clientData/>
  </xdr:twoCellAnchor>
  <xdr:twoCellAnchor>
    <xdr:from>
      <xdr:col>7</xdr:col>
      <xdr:colOff>27216</xdr:colOff>
      <xdr:row>10</xdr:row>
      <xdr:rowOff>181425</xdr:rowOff>
    </xdr:from>
    <xdr:to>
      <xdr:col>10</xdr:col>
      <xdr:colOff>9071</xdr:colOff>
      <xdr:row>33</xdr:row>
      <xdr:rowOff>172358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5361216" y="3383639"/>
          <a:ext cx="2267855" cy="41637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m) American Call @ 90 with 10 steps (IR=2,00%,  Vol=20,00%, Div=0 and Time=1,00 year(s)) </a:t>
          </a:r>
        </a:p>
        <a:p>
          <a:endParaRPr lang="fr-FR" sz="1100"/>
        </a:p>
        <a:p>
          <a:r>
            <a:rPr lang="fr-FR" sz="1100"/>
            <a:t>n) </a:t>
          </a:r>
          <a:r>
            <a:rPr lang="fr-F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American Call @ 100 with 10 steps (IR=2,00%,  Vol=20,00%, Div=0 and Time=1,00 year(s))</a:t>
          </a:r>
          <a:r>
            <a:rPr lang="fr-FR"/>
            <a:t> </a:t>
          </a:r>
        </a:p>
        <a:p>
          <a:endParaRPr lang="fr-FR" sz="1100"/>
        </a:p>
        <a:p>
          <a:r>
            <a:rPr lang="fr-FR" sz="1100"/>
            <a:t>o)</a:t>
          </a:r>
          <a:r>
            <a:rPr lang="fr-F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American Call @ 110 with 10 steps (IR=2,00%,  Vol=20,00%, Div=0 and Time=1,00 year(s))</a:t>
          </a:r>
          <a:r>
            <a:rPr lang="fr-FR"/>
            <a:t> </a:t>
          </a:r>
        </a:p>
        <a:p>
          <a:endParaRPr lang="fr-FR"/>
        </a:p>
        <a:p>
          <a:r>
            <a:rPr lang="fr-FR"/>
            <a:t>p) European Call @ 90 with 10 steps (IR=2,00%,  Vol=20,00%, Div=0 and Time=1,00 year(s)) </a:t>
          </a:r>
        </a:p>
        <a:p>
          <a:endParaRPr lang="fr-FR"/>
        </a:p>
        <a:p>
          <a:r>
            <a:rPr lang="fr-FR"/>
            <a:t>q)</a:t>
          </a:r>
          <a:r>
            <a:rPr lang="fr-FR" sz="1100" baseline="0"/>
            <a:t> </a:t>
          </a:r>
          <a:r>
            <a:rPr lang="fr-F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European Call @ 100 with 10 steps (IR=2,00%,  Vol=20,00%, Div=0 and Time=1,00 year(s))</a:t>
          </a:r>
          <a:r>
            <a:rPr lang="fr-FR"/>
            <a:t> </a:t>
          </a:r>
        </a:p>
        <a:p>
          <a:endParaRPr lang="fr-FR"/>
        </a:p>
        <a:p>
          <a:r>
            <a:rPr lang="fr-FR"/>
            <a:t>r) European Call @ 110 with 10 steps (IR=2,00%,  Vol=20,00%, Div=0 and Time=1,00 year(s)) 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7</xdr:row>
      <xdr:rowOff>186764</xdr:rowOff>
    </xdr:from>
    <xdr:to>
      <xdr:col>0</xdr:col>
      <xdr:colOff>755650</xdr:colOff>
      <xdr:row>11</xdr:row>
      <xdr:rowOff>6350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2700" y="1120214"/>
          <a:ext cx="742950" cy="1915086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>
              <a:solidFill>
                <a:schemeClr val="bg1"/>
              </a:solidFill>
            </a:rPr>
            <a:t>S</a:t>
          </a:r>
        </a:p>
        <a:p>
          <a:pPr algn="ctr"/>
          <a:r>
            <a:rPr lang="fr-FR" sz="1800" b="1">
              <a:solidFill>
                <a:schemeClr val="bg1"/>
              </a:solidFill>
            </a:rPr>
            <a:t>T</a:t>
          </a:r>
        </a:p>
        <a:p>
          <a:pPr algn="ctr"/>
          <a:r>
            <a:rPr lang="fr-FR" sz="1800" b="1">
              <a:solidFill>
                <a:schemeClr val="bg1"/>
              </a:solidFill>
            </a:rPr>
            <a:t>R</a:t>
          </a:r>
        </a:p>
        <a:p>
          <a:pPr algn="ctr"/>
          <a:r>
            <a:rPr lang="fr-FR" sz="1800" b="1">
              <a:solidFill>
                <a:schemeClr val="bg1"/>
              </a:solidFill>
            </a:rPr>
            <a:t>I</a:t>
          </a:r>
        </a:p>
        <a:p>
          <a:pPr algn="ctr"/>
          <a:r>
            <a:rPr lang="fr-FR" sz="1800" b="1">
              <a:solidFill>
                <a:schemeClr val="bg1"/>
              </a:solidFill>
            </a:rPr>
            <a:t>K</a:t>
          </a:r>
        </a:p>
        <a:p>
          <a:pPr algn="ctr"/>
          <a:r>
            <a:rPr lang="fr-FR" sz="1800" b="1">
              <a:solidFill>
                <a:schemeClr val="bg1"/>
              </a:solidFill>
            </a:rPr>
            <a:t>E</a:t>
          </a:r>
          <a:endParaRPr lang="fr-FR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48560</xdr:colOff>
      <xdr:row>12</xdr:row>
      <xdr:rowOff>6351</xdr:rowOff>
    </xdr:from>
    <xdr:to>
      <xdr:col>2</xdr:col>
      <xdr:colOff>754529</xdr:colOff>
      <xdr:row>34</xdr:row>
      <xdr:rowOff>0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48560" y="3629586"/>
          <a:ext cx="2229969" cy="410247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1) European Call @ 90 with 10 steps (IR=2,00%,  Vol=20,00%, Div=1 and Time=1,00 year(s)) </a:t>
          </a:r>
        </a:p>
        <a:p>
          <a:endParaRPr lang="fr-FR" sz="1100"/>
        </a:p>
        <a:p>
          <a:r>
            <a:rPr lang="fr-FR" sz="1100"/>
            <a:t>2) European Call @ 100 with 10 steps (IR=2,00%,  Vol=20,00%, Div=1 and Time=1,00 year(s)) </a:t>
          </a:r>
        </a:p>
        <a:p>
          <a:endParaRPr lang="fr-FR" sz="1100"/>
        </a:p>
        <a:p>
          <a:r>
            <a:rPr lang="fr-FR" sz="1100"/>
            <a:t>3)European Call @ 110 with 10 steps (IR=2,00%,  Vol=20,00%, Div=1 and Time=1,00 year(s)) </a:t>
          </a:r>
        </a:p>
        <a:p>
          <a:endParaRPr lang="fr-FR" sz="1100"/>
        </a:p>
        <a:p>
          <a:r>
            <a:rPr lang="fr-FR" sz="1100"/>
            <a:t>4) European Put @ 90 with 10 steps (IR=2,00%,  Vol=20,00%, Div=1 and Time=1,00 year(s)) </a:t>
          </a:r>
        </a:p>
        <a:p>
          <a:endParaRPr lang="fr-FR" sz="1100"/>
        </a:p>
        <a:p>
          <a:r>
            <a:rPr lang="fr-FR" sz="1100"/>
            <a:t>5) European Put @ 100 with 10 steps (IR=2,00%,  Vol=20,00%, Div=1 and Time=1,00 year(s)) </a:t>
          </a:r>
        </a:p>
        <a:p>
          <a:endParaRPr lang="fr-FR" sz="1100"/>
        </a:p>
        <a:p>
          <a:r>
            <a:rPr lang="fr-FR" sz="1100"/>
            <a:t>6) European Put @ 110 with 10 steps (IR=2,00%,  Vol=20,00%, Div=1 and Time=1,00 year(s)) </a:t>
          </a:r>
        </a:p>
        <a:p>
          <a:endParaRPr lang="fr-FR" sz="1100"/>
        </a:p>
        <a:p>
          <a:endParaRPr lang="fr-FR" sz="1100"/>
        </a:p>
        <a:p>
          <a:endParaRPr lang="fr-FR" sz="1100"/>
        </a:p>
        <a:p>
          <a:endParaRPr lang="fr-FR" sz="1100"/>
        </a:p>
      </xdr:txBody>
    </xdr:sp>
    <xdr:clientData/>
  </xdr:twoCellAnchor>
  <xdr:twoCellAnchor>
    <xdr:from>
      <xdr:col>3</xdr:col>
      <xdr:colOff>7212</xdr:colOff>
      <xdr:row>12</xdr:row>
      <xdr:rowOff>5409</xdr:rowOff>
    </xdr:from>
    <xdr:to>
      <xdr:col>6</xdr:col>
      <xdr:colOff>0</xdr:colOff>
      <xdr:row>34</xdr:row>
      <xdr:rowOff>14940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2293212" y="3628644"/>
          <a:ext cx="2263847" cy="411835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7)</a:t>
          </a:r>
          <a:r>
            <a:rPr lang="fr-FR" sz="1100" baseline="0"/>
            <a:t> European Call @ 90 with 10 steps (IR=0,00%,  Vol=20,00%, Div=1 and Time=1,00 year(s)) </a:t>
          </a:r>
        </a:p>
        <a:p>
          <a:endParaRPr lang="fr-FR" sz="1100" baseline="0"/>
        </a:p>
        <a:p>
          <a:r>
            <a:rPr lang="fr-FR" sz="1100" baseline="0"/>
            <a:t>8) European Call @ 100 with 10 steps (IR=0,00%,  Vol=20,00%, Div=1 and Time=1,00 year(s)) </a:t>
          </a:r>
        </a:p>
        <a:p>
          <a:endParaRPr lang="fr-FR" sz="1100" baseline="0"/>
        </a:p>
        <a:p>
          <a:r>
            <a:rPr lang="fr-FR" sz="1100" baseline="0"/>
            <a:t>9)  European Call @ 110 with 10 steps (IR=0,00%,  Vol=20,00%, Div=1 and Time=1,00 year(s)) </a:t>
          </a:r>
        </a:p>
        <a:p>
          <a:endParaRPr lang="fr-FR" sz="1100" baseline="0"/>
        </a:p>
        <a:p>
          <a:r>
            <a:rPr lang="fr-FR" sz="1100" baseline="0"/>
            <a:t>10)</a:t>
          </a:r>
          <a:r>
            <a:rPr lang="fr-F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European Put @ 90 with 10 steps (IR=0,00%,  Vol=20,00%, Div=1 and Time=1,00 year(s))</a:t>
          </a:r>
          <a:r>
            <a:rPr lang="fr-FR"/>
            <a:t> </a:t>
          </a:r>
        </a:p>
        <a:p>
          <a:endParaRPr lang="fr-FR" sz="1100" baseline="0"/>
        </a:p>
        <a:p>
          <a:r>
            <a:rPr lang="fr-FR" sz="1100" baseline="0"/>
            <a:t>11) European Put @ 100 with 10 steps (IR=0,00%,  Vol=20,00%, Div=1 and Time=1,00 year(s)) </a:t>
          </a:r>
        </a:p>
        <a:p>
          <a:endParaRPr lang="fr-FR" sz="1100" baseline="0"/>
        </a:p>
        <a:p>
          <a:r>
            <a:rPr lang="fr-FR" sz="1100" baseline="0"/>
            <a:t>12) European Put @ 110 with 10 steps (IR=0,00%,  Vol=20,00%, Div=1 and Time=1,00 year(s)) </a:t>
          </a:r>
          <a:endParaRPr lang="fr-FR" sz="1100"/>
        </a:p>
      </xdr:txBody>
    </xdr:sp>
    <xdr:clientData/>
  </xdr:twoCellAnchor>
  <xdr:oneCellAnchor>
    <xdr:from>
      <xdr:col>8</xdr:col>
      <xdr:colOff>459828</xdr:colOff>
      <xdr:row>3</xdr:row>
      <xdr:rowOff>76638</xdr:rowOff>
    </xdr:from>
    <xdr:ext cx="184731" cy="264560"/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6568966" y="63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xdr:twoCellAnchor>
    <xdr:from>
      <xdr:col>6</xdr:col>
      <xdr:colOff>10433</xdr:colOff>
      <xdr:row>12</xdr:row>
      <xdr:rowOff>11851</xdr:rowOff>
    </xdr:from>
    <xdr:to>
      <xdr:col>8</xdr:col>
      <xdr:colOff>739588</xdr:colOff>
      <xdr:row>34</xdr:row>
      <xdr:rowOff>0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/>
      </xdr:nvSpPr>
      <xdr:spPr>
        <a:xfrm>
          <a:off x="4567492" y="3635086"/>
          <a:ext cx="2253155" cy="409697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13)  American Call @ 90 with 10 steps (IR=2,00%,  Vol=20,00%, Div=1 and Time=1,00 year(s)) </a:t>
          </a:r>
        </a:p>
        <a:p>
          <a:endParaRPr lang="fr-FR">
            <a:effectLst/>
          </a:endParaRPr>
        </a:p>
        <a:p>
          <a:r>
            <a:rPr lang="fr-F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14) American Call @ 100 with 10 steps (IR=2,00%,  Vol=20,00%, Div=1 and Time=1,00 year(s)) </a:t>
          </a:r>
        </a:p>
        <a:p>
          <a:endParaRPr lang="fr-FR">
            <a:effectLst/>
          </a:endParaRPr>
        </a:p>
        <a:p>
          <a:r>
            <a:rPr lang="fr-F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15) American Call @ 110 with 10 steps (IR=2,00%,  Vol=20,00%, Div=1 and Time=1,00 year(s)) </a:t>
          </a:r>
        </a:p>
        <a:p>
          <a:endParaRPr lang="fr-FR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fr-F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16) American Put @ 90 with 10 steps (IR=2,00%,  Vol=20,00%, Div=1 and Time=1,00 year(s)) </a:t>
          </a:r>
        </a:p>
        <a:p>
          <a:endParaRPr lang="fr-FR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fr-F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17) American Put @ 100 with 10 steps (IR=2,00%,  Vol=20,00%, Div=1 and Time=1,00 year(s)) </a:t>
          </a:r>
        </a:p>
        <a:p>
          <a:endParaRPr lang="fr-FR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fr-F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18) American Put @ 110 with 10 steps (IR=2,00%,  Vol=20,00%, Div=1 and Time=1,00 year(s)) </a:t>
          </a:r>
        </a:p>
        <a:p>
          <a:endParaRPr lang="fr-FR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fr-FR">
            <a:effectLst/>
          </a:endParaRPr>
        </a:p>
      </xdr:txBody>
    </xdr:sp>
    <xdr:clientData/>
  </xdr:twoCellAnchor>
  <xdr:twoCellAnchor>
    <xdr:from>
      <xdr:col>9</xdr:col>
      <xdr:colOff>18419</xdr:colOff>
      <xdr:row>12</xdr:row>
      <xdr:rowOff>14813</xdr:rowOff>
    </xdr:from>
    <xdr:to>
      <xdr:col>12</xdr:col>
      <xdr:colOff>14941</xdr:colOff>
      <xdr:row>34</xdr:row>
      <xdr:rowOff>1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/>
      </xdr:nvSpPr>
      <xdr:spPr>
        <a:xfrm>
          <a:off x="6861478" y="3638048"/>
          <a:ext cx="2282522" cy="409401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19) American Call @ 90 with 10 steps (IR=0,00%,  Vol=20,00%, Div=1 and Time=1,00 year(s)) </a:t>
          </a:r>
        </a:p>
        <a:p>
          <a:endParaRPr lang="fr-FR" sz="1100"/>
        </a:p>
        <a:p>
          <a:r>
            <a:rPr lang="fr-FR" sz="1100"/>
            <a:t>20) American Call @ 100 with 10 steps (IR=0,00%,  Vol=20,00%, Div=1 and Time=1,00 year(s)) </a:t>
          </a:r>
        </a:p>
        <a:p>
          <a:endParaRPr lang="fr-FR" sz="1100"/>
        </a:p>
        <a:p>
          <a:r>
            <a:rPr lang="fr-FR" sz="1100"/>
            <a:t>21) American Call @ 110 with 10 steps (IR=0,00%,  Vol=20,00%, Div=1 and Time=1,00 year(s)) </a:t>
          </a:r>
        </a:p>
        <a:p>
          <a:endParaRPr lang="fr-FR" sz="1100"/>
        </a:p>
        <a:p>
          <a:r>
            <a:rPr lang="fr-FR" sz="1100"/>
            <a:t>22) American Put @ 90 with 10 steps (IR=0,00%,  Vol=20,00%, Div=1 and Time=1,00 year(s)) </a:t>
          </a:r>
        </a:p>
        <a:p>
          <a:endParaRPr lang="fr-FR" sz="1100"/>
        </a:p>
        <a:p>
          <a:r>
            <a:rPr lang="fr-FR" sz="1100"/>
            <a:t>23) American Put @ 100 with 10 steps (IR=0,00%,  Vol=20,00%, Div=1 and Time=1,00 year(s)) </a:t>
          </a:r>
        </a:p>
        <a:p>
          <a:endParaRPr lang="fr-FR" sz="1100"/>
        </a:p>
        <a:p>
          <a:r>
            <a:rPr lang="fr-FR" sz="1100"/>
            <a:t>24) </a:t>
          </a:r>
          <a:r>
            <a:rPr lang="fr-F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American Put @ 110 with 10 steps (IR=0,00%,  Vol=20,00%, Div=1 and Time=1,00 year(s))</a:t>
          </a:r>
          <a:r>
            <a:rPr lang="fr-FR"/>
            <a:t> </a:t>
          </a:r>
        </a:p>
        <a:p>
          <a:endParaRPr lang="fr-FR" sz="1100"/>
        </a:p>
        <a:p>
          <a:endParaRPr lang="fr-FR" sz="1100"/>
        </a:p>
        <a:p>
          <a:endParaRPr lang="fr-FR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459828</xdr:colOff>
      <xdr:row>4</xdr:row>
      <xdr:rowOff>76638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6508203" y="64813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xdr:oneCellAnchor>
    <xdr:from>
      <xdr:col>8</xdr:col>
      <xdr:colOff>459828</xdr:colOff>
      <xdr:row>9</xdr:row>
      <xdr:rowOff>76638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6555828" y="7663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xdr:oneCellAnchor>
    <xdr:from>
      <xdr:col>8</xdr:col>
      <xdr:colOff>459828</xdr:colOff>
      <xdr:row>9</xdr:row>
      <xdr:rowOff>76638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6555828" y="7663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459828</xdr:colOff>
      <xdr:row>4</xdr:row>
      <xdr:rowOff>76638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6555828" y="7663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xdr:oneCellAnchor>
    <xdr:from>
      <xdr:col>8</xdr:col>
      <xdr:colOff>459828</xdr:colOff>
      <xdr:row>9</xdr:row>
      <xdr:rowOff>76638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6555828" y="106723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xdr:oneCellAnchor>
    <xdr:from>
      <xdr:col>8</xdr:col>
      <xdr:colOff>459828</xdr:colOff>
      <xdr:row>9</xdr:row>
      <xdr:rowOff>76638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6555828" y="106723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xdr:oneCellAnchor>
    <xdr:from>
      <xdr:col>8</xdr:col>
      <xdr:colOff>459828</xdr:colOff>
      <xdr:row>13</xdr:row>
      <xdr:rowOff>76638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>
          <a:off x="6555828" y="106723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8"/>
  <dimension ref="A1:K26"/>
  <sheetViews>
    <sheetView showGridLines="0" topLeftCell="A2" zoomScale="80" zoomScaleNormal="80" workbookViewId="0">
      <selection activeCell="D16" sqref="D16"/>
    </sheetView>
  </sheetViews>
  <sheetFormatPr defaultColWidth="11.42578125" defaultRowHeight="15"/>
  <cols>
    <col min="1" max="1" width="10.7109375" customWidth="1"/>
    <col min="2" max="2" width="10.85546875" customWidth="1"/>
    <col min="3" max="3" width="31.5703125" customWidth="1"/>
    <col min="4" max="4" width="16.42578125" bestFit="1" customWidth="1"/>
  </cols>
  <sheetData>
    <row r="1" spans="1:11" ht="26.25">
      <c r="A1" s="3" t="s">
        <v>0</v>
      </c>
      <c r="B1" s="3"/>
    </row>
    <row r="2" spans="1:11" ht="24.6" customHeight="1" thickBot="1">
      <c r="A2" s="12" t="str">
        <f>IF(IsAmerican=TRUE,"American","European")&amp;" "&amp;IF(IsCall=TRUE,"Call","Put")&amp;" @ "&amp;Strike&amp;" with "&amp; NbSteps &amp;" steps (IR="&amp;TEXT(InterestRate, "0%")&amp;",  Vol="&amp;TEXT(Volatility, "0%") &amp; ", Div=" &amp; Dividend &amp;" and Maturity="&amp;TEXT(Time, "0")&amp;" year(s))"</f>
        <v>European Call @ 100 with 25 steps (IR=2%,  Vol=20%, Div=25 and Maturity=1 year(s))</v>
      </c>
    </row>
    <row r="3" spans="1:11" ht="15.75" thickTop="1">
      <c r="B3" s="100" t="s">
        <v>1</v>
      </c>
      <c r="C3" s="4" t="s">
        <v>2</v>
      </c>
      <c r="D3" s="13">
        <v>0.02</v>
      </c>
      <c r="F3" s="115" t="s">
        <v>3</v>
      </c>
      <c r="G3" s="116"/>
      <c r="H3" s="116"/>
      <c r="I3" s="116"/>
      <c r="J3" s="117"/>
    </row>
    <row r="4" spans="1:11">
      <c r="B4" s="101"/>
      <c r="C4" s="5" t="s">
        <v>4</v>
      </c>
      <c r="D4" s="14">
        <v>0.2</v>
      </c>
      <c r="F4" s="118"/>
      <c r="G4" s="119"/>
      <c r="H4" s="119"/>
      <c r="I4" s="119"/>
      <c r="J4" s="120"/>
    </row>
    <row r="5" spans="1:11" ht="15.75" thickBot="1">
      <c r="B5" s="101"/>
      <c r="C5" s="5" t="s">
        <v>5</v>
      </c>
      <c r="D5" s="15">
        <v>25</v>
      </c>
      <c r="F5" s="121"/>
      <c r="G5" s="122"/>
      <c r="H5" s="122"/>
      <c r="I5" s="122"/>
      <c r="J5" s="123"/>
    </row>
    <row r="6" spans="1:11">
      <c r="B6" s="101"/>
      <c r="C6" s="5" t="s">
        <v>6</v>
      </c>
      <c r="D6" s="15">
        <v>100</v>
      </c>
      <c r="F6" s="124" t="s">
        <v>7</v>
      </c>
      <c r="G6" s="124"/>
      <c r="H6" s="124"/>
      <c r="I6" s="125"/>
      <c r="J6" s="128">
        <v>1</v>
      </c>
      <c r="K6" s="75" t="s">
        <v>8</v>
      </c>
    </row>
    <row r="7" spans="1:11">
      <c r="B7" s="101"/>
      <c r="C7" s="5" t="s">
        <v>9</v>
      </c>
      <c r="D7" s="15">
        <f>EXP(-InterestRate*(Time/NbSteps))</f>
        <v>0.99920031991468372</v>
      </c>
      <c r="F7" s="126"/>
      <c r="G7" s="126"/>
      <c r="H7" s="126"/>
      <c r="I7" s="127"/>
      <c r="J7" s="129"/>
      <c r="K7" s="75" t="s">
        <v>10</v>
      </c>
    </row>
    <row r="8" spans="1:11">
      <c r="B8" s="101"/>
      <c r="C8" s="5" t="s">
        <v>11</v>
      </c>
      <c r="D8" s="16">
        <v>44470</v>
      </c>
      <c r="F8" s="22"/>
      <c r="G8" s="22"/>
      <c r="H8" s="22"/>
      <c r="I8" s="22"/>
      <c r="J8" s="22"/>
    </row>
    <row r="9" spans="1:11" ht="15.75" thickBot="1">
      <c r="B9" s="102"/>
      <c r="C9" s="6" t="s">
        <v>12</v>
      </c>
      <c r="D9" s="19">
        <v>44774</v>
      </c>
      <c r="F9" s="22"/>
      <c r="G9" s="22"/>
      <c r="H9" s="22"/>
      <c r="I9" s="22"/>
      <c r="J9" s="22"/>
    </row>
    <row r="10" spans="1:11" ht="15.75" thickTop="1">
      <c r="B10" s="103" t="s">
        <v>13</v>
      </c>
      <c r="C10" s="7" t="s">
        <v>14</v>
      </c>
      <c r="D10" s="18">
        <v>100</v>
      </c>
      <c r="F10" s="22"/>
      <c r="G10" s="22"/>
      <c r="H10" s="22"/>
      <c r="I10" s="22"/>
      <c r="J10" s="22"/>
    </row>
    <row r="11" spans="1:11">
      <c r="B11" s="104"/>
      <c r="C11" s="8" t="s">
        <v>15</v>
      </c>
      <c r="D11" s="68">
        <v>44835</v>
      </c>
      <c r="F11" s="22"/>
      <c r="G11" s="22"/>
      <c r="H11" s="22"/>
      <c r="I11" s="22"/>
      <c r="J11" s="22"/>
    </row>
    <row r="12" spans="1:11">
      <c r="B12" s="104"/>
      <c r="C12" s="8" t="s">
        <v>16</v>
      </c>
      <c r="D12" s="69">
        <f>(Maturity-Start_date)/365</f>
        <v>1</v>
      </c>
      <c r="F12" s="22"/>
      <c r="G12" s="22"/>
      <c r="H12" s="22"/>
      <c r="I12" s="22"/>
      <c r="J12" s="22"/>
    </row>
    <row r="13" spans="1:11">
      <c r="B13" s="104"/>
      <c r="C13" s="8" t="s">
        <v>17</v>
      </c>
      <c r="D13" s="17" t="b">
        <v>0</v>
      </c>
      <c r="E13" s="75" t="s">
        <v>18</v>
      </c>
      <c r="F13" s="22"/>
      <c r="G13" s="22"/>
      <c r="H13" s="22"/>
      <c r="I13" s="22"/>
      <c r="J13" s="22"/>
    </row>
    <row r="14" spans="1:11" ht="15.75" thickBot="1">
      <c r="B14" s="105"/>
      <c r="C14" s="9" t="s">
        <v>19</v>
      </c>
      <c r="D14" s="21" t="b">
        <v>1</v>
      </c>
      <c r="E14" s="75" t="s">
        <v>20</v>
      </c>
      <c r="F14" s="22"/>
      <c r="G14" s="22"/>
      <c r="H14" s="22"/>
      <c r="I14" s="22"/>
      <c r="J14" s="22"/>
    </row>
    <row r="15" spans="1:11" ht="17.25" thickTop="1" thickBot="1">
      <c r="B15" s="10" t="s">
        <v>21</v>
      </c>
      <c r="C15" s="11" t="s">
        <v>22</v>
      </c>
      <c r="D15" s="20">
        <v>25</v>
      </c>
      <c r="F15" s="22"/>
      <c r="G15" s="22"/>
      <c r="H15" s="22"/>
      <c r="I15" s="22"/>
      <c r="J15" s="22"/>
    </row>
    <row r="16" spans="1:11" ht="16.5" thickTop="1" thickBot="1"/>
    <row r="17" spans="2:10" ht="15" customHeight="1" thickTop="1">
      <c r="B17" s="106" t="s">
        <v>23</v>
      </c>
      <c r="C17" s="111" t="s">
        <v>24</v>
      </c>
      <c r="D17" s="109" t="s">
        <v>25</v>
      </c>
      <c r="F17" s="130" t="s">
        <v>26</v>
      </c>
      <c r="G17" s="131"/>
      <c r="H17" s="131"/>
      <c r="I17" s="131"/>
      <c r="J17" s="136">
        <v>1.0859375</v>
      </c>
    </row>
    <row r="18" spans="2:10" ht="14.45" customHeight="1">
      <c r="B18" s="107"/>
      <c r="C18" s="112"/>
      <c r="D18" s="110"/>
      <c r="F18" s="132"/>
      <c r="G18" s="133"/>
      <c r="H18" s="133"/>
      <c r="I18" s="133"/>
      <c r="J18" s="137"/>
    </row>
    <row r="19" spans="2:10" ht="14.45" customHeight="1">
      <c r="B19" s="107"/>
      <c r="C19" s="112"/>
      <c r="D19" s="110"/>
      <c r="F19" s="132"/>
      <c r="G19" s="133"/>
      <c r="H19" s="133"/>
      <c r="I19" s="133"/>
      <c r="J19" s="137"/>
    </row>
    <row r="20" spans="2:10" ht="15" customHeight="1" thickBot="1">
      <c r="B20" s="107"/>
      <c r="C20" s="112"/>
      <c r="D20" s="110"/>
      <c r="F20" s="134"/>
      <c r="G20" s="135"/>
      <c r="H20" s="135"/>
      <c r="I20" s="135"/>
      <c r="J20" s="138"/>
    </row>
    <row r="21" spans="2:10" ht="15" customHeight="1">
      <c r="B21" s="107"/>
      <c r="C21" s="112" t="s">
        <v>27</v>
      </c>
      <c r="D21" s="110">
        <v>1.6109021028125272</v>
      </c>
    </row>
    <row r="22" spans="2:10" ht="14.45" customHeight="1">
      <c r="B22" s="107"/>
      <c r="C22" s="112"/>
      <c r="D22" s="110"/>
    </row>
    <row r="23" spans="2:10" ht="14.45" customHeight="1">
      <c r="B23" s="107"/>
      <c r="C23" s="112"/>
      <c r="D23" s="110"/>
    </row>
    <row r="24" spans="2:10" ht="15" customHeight="1">
      <c r="B24" s="107"/>
      <c r="C24" s="112"/>
      <c r="D24" s="110"/>
    </row>
    <row r="25" spans="2:10" ht="14.45" customHeight="1" thickBot="1">
      <c r="B25" s="108"/>
      <c r="C25" s="114"/>
      <c r="D25" s="113"/>
    </row>
    <row r="26" spans="2:10" ht="15.75" thickTop="1"/>
  </sheetData>
  <mergeCells count="12">
    <mergeCell ref="F3:J5"/>
    <mergeCell ref="F6:I7"/>
    <mergeCell ref="J6:J7"/>
    <mergeCell ref="F17:I20"/>
    <mergeCell ref="J17:J20"/>
    <mergeCell ref="B3:B9"/>
    <mergeCell ref="B10:B14"/>
    <mergeCell ref="B17:B25"/>
    <mergeCell ref="D17:D20"/>
    <mergeCell ref="C17:C20"/>
    <mergeCell ref="D21:D25"/>
    <mergeCell ref="C21:C2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ain_Pricer">
                <anchor moveWithCells="1" sizeWithCells="1">
                  <from>
                    <xdr:col>5</xdr:col>
                    <xdr:colOff>0</xdr:colOff>
                    <xdr:row>7</xdr:row>
                    <xdr:rowOff>9525</xdr:rowOff>
                  </from>
                  <to>
                    <xdr:col>10</xdr:col>
                    <xdr:colOff>9525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autoLine="0" autoPict="0" altText="1 = Yes">
                <anchor moveWithCells="1">
                  <from>
                    <xdr:col>9</xdr:col>
                    <xdr:colOff>19050</xdr:colOff>
                    <xdr:row>5</xdr:row>
                    <xdr:rowOff>38100</xdr:rowOff>
                  </from>
                  <to>
                    <xdr:col>10</xdr:col>
                    <xdr:colOff>9525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Check Box 6">
              <controlPr defaultSize="0" autoFill="0" autoLine="0" autoPict="0" altText=" rien">
                <anchor moveWithCells="1">
                  <from>
                    <xdr:col>3</xdr:col>
                    <xdr:colOff>38100</xdr:colOff>
                    <xdr:row>11</xdr:row>
                    <xdr:rowOff>180975</xdr:rowOff>
                  </from>
                  <to>
                    <xdr:col>3</xdr:col>
                    <xdr:colOff>1066800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Check Box 7">
              <controlPr defaultSize="0" autoFill="0" autoLine="0" autoPict="0" altText=" rien">
                <anchor moveWithCells="1">
                  <from>
                    <xdr:col>3</xdr:col>
                    <xdr:colOff>38100</xdr:colOff>
                    <xdr:row>13</xdr:row>
                    <xdr:rowOff>0</xdr:rowOff>
                  </from>
                  <to>
                    <xdr:col>3</xdr:col>
                    <xdr:colOff>1066800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>
    <tabColor theme="4" tint="0.79998168889431442"/>
  </sheetPr>
  <dimension ref="A1:Z73"/>
  <sheetViews>
    <sheetView showGridLines="0" zoomScale="25" zoomScaleNormal="25" workbookViewId="0">
      <selection activeCell="F13" sqref="F13"/>
    </sheetView>
  </sheetViews>
  <sheetFormatPr defaultColWidth="10.85546875" defaultRowHeight="15"/>
  <cols>
    <col min="1" max="1" width="36.85546875" style="1" bestFit="1" customWidth="1"/>
    <col min="2" max="16384" width="10.85546875" style="1"/>
  </cols>
  <sheetData>
    <row r="1" spans="1:26" ht="28.5">
      <c r="A1" s="54" t="s">
        <v>28</v>
      </c>
    </row>
    <row r="4" spans="1:26">
      <c r="Z4" s="1">
        <v>503.13185704127056</v>
      </c>
    </row>
    <row r="5" spans="1:26">
      <c r="Y5" s="1">
        <v>470.11956306842012</v>
      </c>
      <c r="Z5" s="1">
        <v>470.49580919726014</v>
      </c>
    </row>
    <row r="6" spans="1:26">
      <c r="X6" s="1">
        <v>439.2733246495925</v>
      </c>
      <c r="Y6" s="1">
        <v>439.62488391426808</v>
      </c>
      <c r="Z6" s="1">
        <v>439.9767245388847</v>
      </c>
    </row>
    <row r="7" spans="1:26">
      <c r="W7" s="1">
        <v>410.45101907538196</v>
      </c>
      <c r="X7" s="1">
        <v>410.77951127000028</v>
      </c>
      <c r="Y7" s="1">
        <v>411.10826636351999</v>
      </c>
      <c r="Z7" s="1">
        <v>411.43728456634449</v>
      </c>
    </row>
    <row r="8" spans="1:26">
      <c r="V8" s="1">
        <v>383.5198488194282</v>
      </c>
      <c r="W8" s="1">
        <v>383.82678745756931</v>
      </c>
      <c r="X8" s="1">
        <v>384.13397174486687</v>
      </c>
      <c r="Y8" s="1">
        <v>384.44140187791965</v>
      </c>
      <c r="Z8" s="1">
        <v>384.74907805348295</v>
      </c>
    </row>
    <row r="9" spans="1:26">
      <c r="V9" s="1">
        <v>358.64252896772223</v>
      </c>
      <c r="W9" s="1">
        <v>358.92955778711627</v>
      </c>
      <c r="X9" s="1">
        <v>359.21681632143901</v>
      </c>
      <c r="Y9" s="1">
        <v>359.50430475453663</v>
      </c>
      <c r="Z9" s="1">
        <v>359.79202327040173</v>
      </c>
    </row>
    <row r="10" spans="1:26">
      <c r="V10" s="1">
        <v>335.37889624305586</v>
      </c>
      <c r="W10" s="1">
        <v>335.64730670992208</v>
      </c>
      <c r="X10" s="1">
        <v>335.91593199107558</v>
      </c>
      <c r="Y10" s="1">
        <v>336.18477225843719</v>
      </c>
      <c r="Z10" s="1">
        <v>336.45382768406466</v>
      </c>
    </row>
    <row r="11" spans="1:26">
      <c r="V11" s="1">
        <v>313.62427754722171</v>
      </c>
      <c r="W11" s="1">
        <v>313.87527735579653</v>
      </c>
      <c r="X11" s="1">
        <v>314.12647804455906</v>
      </c>
      <c r="Y11" s="1">
        <v>314.37787977427848</v>
      </c>
      <c r="Z11" s="1">
        <v>314.62948270585179</v>
      </c>
    </row>
    <row r="12" spans="1:26">
      <c r="U12" s="1">
        <v>388.57052638476966</v>
      </c>
      <c r="V12" s="1">
        <v>293.28078948573182</v>
      </c>
      <c r="W12" s="1">
        <v>293.5155079922049</v>
      </c>
      <c r="X12" s="1">
        <v>293.75041434861271</v>
      </c>
      <c r="Y12" s="1">
        <v>293.98550870529584</v>
      </c>
      <c r="Z12" s="1">
        <v>294.22079121271474</v>
      </c>
    </row>
    <row r="13" spans="1:26">
      <c r="T13" s="1">
        <v>363.07501409176257</v>
      </c>
      <c r="U13" s="1">
        <v>363.36559031802915</v>
      </c>
      <c r="V13" s="1">
        <v>274.25689794828867</v>
      </c>
      <c r="W13" s="1">
        <v>274.47639125226277</v>
      </c>
      <c r="X13" s="1">
        <v>274.69606022113629</v>
      </c>
      <c r="Y13" s="1">
        <v>274.91590499549784</v>
      </c>
      <c r="Z13" s="1">
        <v>275.13592571604812</v>
      </c>
    </row>
    <row r="14" spans="1:26">
      <c r="S14" s="1">
        <v>339.25235422307759</v>
      </c>
      <c r="T14" s="1">
        <v>339.52386469616476</v>
      </c>
      <c r="U14" s="1">
        <v>339.79559246453698</v>
      </c>
      <c r="V14" s="1">
        <v>256.4670062574192</v>
      </c>
      <c r="W14" s="1">
        <v>256.67226195375684</v>
      </c>
      <c r="X14" s="1">
        <v>256.87768192035065</v>
      </c>
      <c r="Y14" s="1">
        <v>257.08326628866968</v>
      </c>
      <c r="Z14" s="1">
        <v>257.28901519028807</v>
      </c>
    </row>
    <row r="15" spans="1:26">
      <c r="R15" s="1">
        <v>316.99278490370705</v>
      </c>
      <c r="S15" s="1">
        <v>317.24648059637673</v>
      </c>
      <c r="T15" s="1">
        <v>317.50037932680476</v>
      </c>
      <c r="U15" s="1">
        <v>317.75448125748647</v>
      </c>
      <c r="V15" s="1">
        <v>239.83107003217503</v>
      </c>
      <c r="W15" s="1">
        <v>240.02301165461296</v>
      </c>
      <c r="X15" s="1">
        <v>240.21510689178635</v>
      </c>
      <c r="Y15" s="1">
        <v>240.40735586663638</v>
      </c>
      <c r="Z15" s="1">
        <v>240.59975870220248</v>
      </c>
    </row>
    <row r="16" spans="1:26">
      <c r="Q16" s="1">
        <v>296.19374613074535</v>
      </c>
      <c r="R16" s="1">
        <v>296.43079593492888</v>
      </c>
      <c r="S16" s="1">
        <v>296.66803545483208</v>
      </c>
      <c r="T16" s="1">
        <v>296.90546484228804</v>
      </c>
      <c r="U16" s="1">
        <v>297.14308424925173</v>
      </c>
      <c r="V16" s="1">
        <v>224.27423703400487</v>
      </c>
      <c r="W16" s="1">
        <v>224.4537282105299</v>
      </c>
      <c r="X16" s="1">
        <v>224.63336303744848</v>
      </c>
      <c r="Y16" s="1">
        <v>224.81314162972711</v>
      </c>
      <c r="Z16" s="1">
        <v>224.99306410242414</v>
      </c>
    </row>
    <row r="17" spans="1:26">
      <c r="P17" s="1">
        <v>276.75940723261056</v>
      </c>
      <c r="Q17" s="1">
        <v>276.98090334502854</v>
      </c>
      <c r="R17" s="1">
        <v>277.202576725234</v>
      </c>
      <c r="S17" s="1">
        <v>277.42442751509816</v>
      </c>
      <c r="T17" s="1">
        <v>277.64645585660531</v>
      </c>
      <c r="U17" s="1">
        <v>277.86866189185383</v>
      </c>
      <c r="V17" s="1">
        <v>209.72651037431072</v>
      </c>
      <c r="W17" s="1">
        <v>209.89435871299381</v>
      </c>
      <c r="X17" s="1">
        <v>210.06234138407348</v>
      </c>
      <c r="Y17" s="1">
        <v>210.23045849505885</v>
      </c>
      <c r="Z17" s="1">
        <v>210.3987101535449</v>
      </c>
    </row>
    <row r="18" spans="1:26">
      <c r="O18" s="1">
        <v>258.60022533337082</v>
      </c>
      <c r="P18" s="1">
        <v>258.80718828778129</v>
      </c>
      <c r="Q18" s="1">
        <v>259.01431687880108</v>
      </c>
      <c r="R18" s="1">
        <v>259.22161123899247</v>
      </c>
      <c r="S18" s="1">
        <v>259.429071501024</v>
      </c>
      <c r="T18" s="1">
        <v>259.63669779767002</v>
      </c>
      <c r="U18" s="1">
        <v>259.8444902618117</v>
      </c>
      <c r="V18" s="1">
        <v>196.12243356831371</v>
      </c>
      <c r="W18" s="1">
        <v>196.27939429108631</v>
      </c>
      <c r="X18" s="1">
        <v>196.43648063267779</v>
      </c>
      <c r="Y18" s="1">
        <v>196.59369269362364</v>
      </c>
      <c r="Z18" s="1">
        <v>196.75103057453958</v>
      </c>
    </row>
    <row r="19" spans="1:26">
      <c r="N19" s="1">
        <v>241.63253278781565</v>
      </c>
      <c r="O19" s="1">
        <v>241.82591615707975</v>
      </c>
      <c r="P19" s="1">
        <v>242.01945429493853</v>
      </c>
      <c r="Q19" s="1">
        <v>242.21314732525633</v>
      </c>
      <c r="R19" s="1">
        <v>242.40699537199663</v>
      </c>
      <c r="S19" s="1">
        <v>242.60099855922238</v>
      </c>
      <c r="T19" s="1">
        <v>242.79515701109531</v>
      </c>
      <c r="U19" s="1">
        <v>242.98947085187723</v>
      </c>
      <c r="V19" s="1">
        <v>183.40079601815117</v>
      </c>
      <c r="W19" s="1">
        <v>183.54757535887381</v>
      </c>
      <c r="X19" s="1">
        <v>183.6944721700508</v>
      </c>
      <c r="Y19" s="1">
        <v>183.84148654569631</v>
      </c>
      <c r="Z19" s="1">
        <v>183.98861857989954</v>
      </c>
    </row>
    <row r="20" spans="1:26">
      <c r="M20" s="1">
        <v>225.77815168639907</v>
      </c>
      <c r="N20" s="1">
        <v>225.95884647602699</v>
      </c>
      <c r="O20" s="1">
        <v>226.1396858793243</v>
      </c>
      <c r="P20" s="1">
        <v>226.32067001202836</v>
      </c>
      <c r="Q20" s="1">
        <v>226.50179898996896</v>
      </c>
      <c r="R20" s="1">
        <v>226.6830729290686</v>
      </c>
      <c r="S20" s="1">
        <v>226.86449194534276</v>
      </c>
      <c r="T20" s="1">
        <v>227.04605615489936</v>
      </c>
      <c r="U20" s="1">
        <v>227.22776567393987</v>
      </c>
      <c r="V20" s="1">
        <v>171.50435760004677</v>
      </c>
      <c r="W20" s="1">
        <v>171.64161598215927</v>
      </c>
      <c r="X20" s="1">
        <v>171.77898421491173</v>
      </c>
      <c r="Y20" s="1">
        <v>171.91646238621999</v>
      </c>
      <c r="Z20" s="1">
        <v>172.0540505840701</v>
      </c>
    </row>
    <row r="21" spans="1:26">
      <c r="L21" s="1">
        <v>210.96403365390327</v>
      </c>
      <c r="M21" s="1">
        <v>211.13287240732305</v>
      </c>
      <c r="N21" s="1">
        <v>211.30184628578834</v>
      </c>
      <c r="O21" s="1">
        <v>211.47095539744245</v>
      </c>
      <c r="P21" s="1">
        <v>211.64019985051524</v>
      </c>
      <c r="Q21" s="1">
        <v>211.80957975332322</v>
      </c>
      <c r="R21" s="1">
        <v>211.97909521426939</v>
      </c>
      <c r="S21" s="1">
        <v>212.14874634184386</v>
      </c>
      <c r="T21" s="1">
        <v>212.31853324462307</v>
      </c>
      <c r="U21" s="1">
        <v>212.488456031271</v>
      </c>
      <c r="V21" s="1">
        <v>160.37959111635288</v>
      </c>
      <c r="W21" s="1">
        <v>160.50794612440362</v>
      </c>
      <c r="X21" s="1">
        <v>160.63640385754528</v>
      </c>
      <c r="Y21" s="1">
        <v>160.76496439799089</v>
      </c>
      <c r="Z21" s="1">
        <v>160.89362782801928</v>
      </c>
    </row>
    <row r="22" spans="1:26">
      <c r="K22" s="1">
        <v>197.12192328220866</v>
      </c>
      <c r="L22" s="1">
        <v>197.27968391667434</v>
      </c>
      <c r="M22" s="1">
        <v>197.43757081014445</v>
      </c>
      <c r="N22" s="1">
        <v>197.59558406366659</v>
      </c>
      <c r="O22" s="1">
        <v>197.75372377836928</v>
      </c>
      <c r="P22" s="1">
        <v>197.91199005546193</v>
      </c>
      <c r="Q22" s="1">
        <v>198.070382996235</v>
      </c>
      <c r="R22" s="1">
        <v>198.22890270205991</v>
      </c>
      <c r="S22" s="1">
        <v>198.38754927438941</v>
      </c>
      <c r="T22" s="1">
        <v>198.54632281475708</v>
      </c>
      <c r="U22" s="1">
        <v>198.7052234247783</v>
      </c>
      <c r="V22" s="1">
        <v>149.97644145364572</v>
      </c>
      <c r="W22" s="1">
        <v>150.09647061207048</v>
      </c>
      <c r="X22" s="1">
        <v>150.2165958322415</v>
      </c>
      <c r="Y22" s="1">
        <v>150.33681719103896</v>
      </c>
      <c r="Z22" s="1">
        <v>150.45713476540465</v>
      </c>
    </row>
    <row r="23" spans="1:26">
      <c r="J23" s="1">
        <v>184.18804364645322</v>
      </c>
      <c r="K23" s="1">
        <v>184.33545303726487</v>
      </c>
      <c r="L23" s="1">
        <v>184.4829804027728</v>
      </c>
      <c r="M23" s="1">
        <v>184.63062583739446</v>
      </c>
      <c r="N23" s="1">
        <v>184.77838943562293</v>
      </c>
      <c r="O23" s="1">
        <v>184.92627129202694</v>
      </c>
      <c r="P23" s="1">
        <v>185.07427150125091</v>
      </c>
      <c r="Q23" s="1">
        <v>185.22239015801495</v>
      </c>
      <c r="R23" s="1">
        <v>185.37062735711501</v>
      </c>
      <c r="S23" s="1">
        <v>185.51898319342297</v>
      </c>
      <c r="T23" s="1">
        <v>185.6674577618864</v>
      </c>
      <c r="U23" s="1">
        <v>185.81605115752927</v>
      </c>
      <c r="V23" s="1">
        <v>140.24810036322236</v>
      </c>
      <c r="W23" s="1">
        <v>140.3603437348753</v>
      </c>
      <c r="X23" s="1">
        <v>140.47267693715298</v>
      </c>
      <c r="Y23" s="1">
        <v>140.58510004194869</v>
      </c>
      <c r="Z23" s="1">
        <v>140.69761312121329</v>
      </c>
    </row>
    <row r="24" spans="1:26">
      <c r="I24" s="1">
        <v>172.10280245560944</v>
      </c>
      <c r="J24" s="1">
        <v>172.24053978515977</v>
      </c>
      <c r="K24" s="1">
        <v>172.37838734866142</v>
      </c>
      <c r="L24" s="1">
        <v>172.51634523433691</v>
      </c>
      <c r="M24" s="1">
        <v>172.65441353047922</v>
      </c>
      <c r="N24" s="1">
        <v>172.79259232545203</v>
      </c>
      <c r="O24" s="1">
        <v>172.93088170768985</v>
      </c>
      <c r="P24" s="1">
        <v>173.06928176569787</v>
      </c>
      <c r="Q24" s="1">
        <v>173.20779258805211</v>
      </c>
      <c r="R24" s="1">
        <v>173.34641426339954</v>
      </c>
      <c r="S24" s="1">
        <v>173.48514688045805</v>
      </c>
      <c r="T24" s="1">
        <v>173.62399052801641</v>
      </c>
      <c r="U24" s="1">
        <v>173.76294529493475</v>
      </c>
      <c r="V24" s="1">
        <v>131.15079585063958</v>
      </c>
      <c r="W24" s="1">
        <v>131.25575846676855</v>
      </c>
      <c r="X24" s="1">
        <v>131.36080508658739</v>
      </c>
      <c r="Y24" s="1">
        <v>131.46593577732597</v>
      </c>
      <c r="Z24" s="1">
        <v>131.57115060626796</v>
      </c>
    </row>
    <row r="25" spans="1:26">
      <c r="H25" s="1">
        <v>160.81051748358095</v>
      </c>
      <c r="I25" s="1">
        <v>160.93921737065861</v>
      </c>
      <c r="J25" s="1">
        <v>161.06802025884093</v>
      </c>
      <c r="K25" s="1">
        <v>161.1969262305617</v>
      </c>
      <c r="L25" s="1">
        <v>161.32593536832081</v>
      </c>
      <c r="M25" s="1">
        <v>161.45504775468405</v>
      </c>
      <c r="N25" s="1">
        <v>161.58426347228331</v>
      </c>
      <c r="O25" s="1">
        <v>161.71358260381672</v>
      </c>
      <c r="P25" s="1">
        <v>161.84300523204851</v>
      </c>
      <c r="Q25" s="1">
        <v>161.97253143980919</v>
      </c>
      <c r="R25" s="1">
        <v>162.10216130999552</v>
      </c>
      <c r="S25" s="1">
        <v>162.23189492557066</v>
      </c>
      <c r="T25" s="1">
        <v>162.36173236956401</v>
      </c>
      <c r="U25" s="1">
        <v>162.49167372507173</v>
      </c>
      <c r="V25" s="1">
        <v>122.64359522666793</v>
      </c>
      <c r="W25" s="1">
        <v>122.74174935926742</v>
      </c>
      <c r="X25" s="1">
        <v>122.83998204659068</v>
      </c>
      <c r="Y25" s="1">
        <v>122.93829335150663</v>
      </c>
      <c r="Z25" s="1">
        <v>123.03668333693456</v>
      </c>
    </row>
    <row r="26" spans="1:26">
      <c r="G26" s="1">
        <v>150.25916001575379</v>
      </c>
      <c r="H26" s="1">
        <v>150.37941543952229</v>
      </c>
      <c r="I26" s="1">
        <v>150.49976710612177</v>
      </c>
      <c r="J26" s="1">
        <v>150.62021509257735</v>
      </c>
      <c r="K26" s="1">
        <v>150.74075947597575</v>
      </c>
      <c r="L26" s="1">
        <v>150.86140033346538</v>
      </c>
      <c r="M26" s="1">
        <v>150.98213774225636</v>
      </c>
      <c r="N26" s="1">
        <v>151.10297177962062</v>
      </c>
      <c r="O26" s="1">
        <v>151.22390252289196</v>
      </c>
      <c r="P26" s="1">
        <v>151.34493004946611</v>
      </c>
      <c r="Q26" s="1">
        <v>151.46605443680065</v>
      </c>
      <c r="R26" s="1">
        <v>151.5872757624152</v>
      </c>
      <c r="S26" s="1">
        <v>151.70859410389144</v>
      </c>
      <c r="T26" s="1">
        <v>151.83000953887301</v>
      </c>
      <c r="U26" s="1">
        <v>151.95152214506598</v>
      </c>
      <c r="V26" s="1">
        <v>114.68822093350195</v>
      </c>
      <c r="W26" s="1">
        <v>114.78000822026814</v>
      </c>
      <c r="X26" s="1">
        <v>114.8718689662435</v>
      </c>
      <c r="Y26" s="1">
        <v>114.96380323021891</v>
      </c>
      <c r="Z26" s="1">
        <v>115.05581107103234</v>
      </c>
    </row>
    <row r="27" spans="1:26">
      <c r="F27" s="1">
        <v>140.40011512894449</v>
      </c>
      <c r="G27" s="1">
        <v>140.51248016106769</v>
      </c>
      <c r="H27" s="1">
        <v>140.624935121183</v>
      </c>
      <c r="I27" s="1">
        <v>140.73748008126157</v>
      </c>
      <c r="J27" s="1">
        <v>140.85011511333221</v>
      </c>
      <c r="K27" s="1">
        <v>140.96284028948133</v>
      </c>
      <c r="L27" s="1">
        <v>141.07565568185308</v>
      </c>
      <c r="M27" s="1">
        <v>141.18856136264924</v>
      </c>
      <c r="N27" s="1">
        <v>141.30155740412948</v>
      </c>
      <c r="O27" s="1">
        <v>141.41464387861129</v>
      </c>
      <c r="P27" s="1">
        <v>141.52782085847002</v>
      </c>
      <c r="Q27" s="1">
        <v>141.64108841613893</v>
      </c>
      <c r="R27" s="1">
        <v>141.75444662410928</v>
      </c>
      <c r="S27" s="1">
        <v>141.8678955549303</v>
      </c>
      <c r="T27" s="1">
        <v>141.98143528120926</v>
      </c>
      <c r="U27" s="1">
        <v>142.09506587561174</v>
      </c>
      <c r="V27" s="1">
        <v>107.24887831754992</v>
      </c>
      <c r="W27" s="1">
        <v>107.33471174899877</v>
      </c>
      <c r="X27" s="1">
        <v>107.42061387466677</v>
      </c>
      <c r="Y27" s="1">
        <v>107.50658474953134</v>
      </c>
      <c r="Z27" s="1">
        <v>107.59262442861382</v>
      </c>
    </row>
    <row r="28" spans="1:26">
      <c r="E28" s="1">
        <v>131.18795770024377</v>
      </c>
      <c r="F28" s="1">
        <v>131.29295005774736</v>
      </c>
      <c r="G28" s="1">
        <v>131.39802644274349</v>
      </c>
      <c r="H28" s="1">
        <v>131.50318692248104</v>
      </c>
      <c r="I28" s="1">
        <v>131.60843156426267</v>
      </c>
      <c r="J28" s="1">
        <v>131.71376043544501</v>
      </c>
      <c r="K28" s="1">
        <v>131.81917360343854</v>
      </c>
      <c r="L28" s="1">
        <v>131.92467113570768</v>
      </c>
      <c r="M28" s="1">
        <v>132.03025309977085</v>
      </c>
      <c r="N28" s="1">
        <v>132.13591956320047</v>
      </c>
      <c r="O28" s="1">
        <v>132.24167059362313</v>
      </c>
      <c r="P28" s="1">
        <v>132.34750625871951</v>
      </c>
      <c r="Q28" s="1">
        <v>132.4534266262244</v>
      </c>
      <c r="R28" s="1">
        <v>132.55943176392688</v>
      </c>
      <c r="S28" s="1">
        <v>132.6655217396702</v>
      </c>
      <c r="T28" s="1">
        <v>132.77169662135191</v>
      </c>
      <c r="U28" s="1">
        <v>132.87795647692406</v>
      </c>
      <c r="V28" s="1">
        <v>100.29209457387833</v>
      </c>
      <c r="W28" s="1">
        <v>100.37236035156768</v>
      </c>
      <c r="X28" s="1">
        <v>100.45269036757105</v>
      </c>
      <c r="Y28" s="1">
        <v>100.53308467329971</v>
      </c>
      <c r="Z28" s="1">
        <v>100.61354332020598</v>
      </c>
    </row>
    <row r="29" spans="1:26">
      <c r="D29" s="1">
        <v>122.5802431127275</v>
      </c>
      <c r="E29" s="1">
        <v>122.67834654335776</v>
      </c>
      <c r="F29" s="1">
        <v>122.77652848813399</v>
      </c>
      <c r="G29" s="1">
        <v>122.87478900989264</v>
      </c>
      <c r="H29" s="1">
        <v>122.97312817152046</v>
      </c>
      <c r="I29" s="1">
        <v>123.07154603595448</v>
      </c>
      <c r="J29" s="1">
        <v>123.17004266618218</v>
      </c>
      <c r="K29" s="1">
        <v>123.2686181252414</v>
      </c>
      <c r="L29" s="1">
        <v>123.36727247622044</v>
      </c>
      <c r="M29" s="1">
        <v>123.46600578225805</v>
      </c>
      <c r="N29" s="1">
        <v>123.56481810654358</v>
      </c>
      <c r="O29" s="1">
        <v>123.6637095123169</v>
      </c>
      <c r="P29" s="1">
        <v>123.76268006286855</v>
      </c>
      <c r="Q29" s="1">
        <v>123.86172982153967</v>
      </c>
      <c r="R29" s="1">
        <v>123.96085885172211</v>
      </c>
      <c r="S29" s="1">
        <v>124.06006721685843</v>
      </c>
      <c r="T29" s="1">
        <v>124.15935498044199</v>
      </c>
      <c r="U29" s="1">
        <v>124.258722206017</v>
      </c>
      <c r="V29" s="1">
        <v>93.786568137653035</v>
      </c>
      <c r="W29" s="1">
        <v>93.861627411869691</v>
      </c>
      <c r="X29" s="1">
        <v>93.936746757531083</v>
      </c>
      <c r="Y29" s="1">
        <v>94.011926222713612</v>
      </c>
      <c r="Z29" s="1">
        <v>94.08716585553212</v>
      </c>
    </row>
    <row r="30" spans="1:26">
      <c r="C30" s="1">
        <v>114.53731169372004</v>
      </c>
      <c r="D30" s="1">
        <v>114.62897820479056</v>
      </c>
      <c r="E30" s="1">
        <v>114.72071807841105</v>
      </c>
      <c r="F30" s="1">
        <v>114.81253137329503</v>
      </c>
      <c r="G30" s="1">
        <v>114.90441814820299</v>
      </c>
      <c r="H30" s="1">
        <v>114.99637846194251</v>
      </c>
      <c r="I30" s="1">
        <v>115.08841237336816</v>
      </c>
      <c r="J30" s="1">
        <v>115.18051994138165</v>
      </c>
      <c r="K30" s="1">
        <v>115.27270122493185</v>
      </c>
      <c r="L30" s="1">
        <v>115.36495628301476</v>
      </c>
      <c r="M30" s="1">
        <v>115.45728517467363</v>
      </c>
      <c r="N30" s="1">
        <v>115.54968795899896</v>
      </c>
      <c r="O30" s="1">
        <v>115.6421646951285</v>
      </c>
      <c r="P30" s="1">
        <v>115.73471544224742</v>
      </c>
      <c r="Q30" s="1">
        <v>115.82734025958817</v>
      </c>
      <c r="R30" s="1">
        <v>115.92003920643064</v>
      </c>
      <c r="S30" s="1">
        <v>116.01281234210215</v>
      </c>
      <c r="T30" s="1">
        <v>116.10565972597752</v>
      </c>
      <c r="U30" s="1">
        <v>116.19858141747909</v>
      </c>
      <c r="V30" s="1">
        <v>87.703027844924335</v>
      </c>
      <c r="W30" s="1">
        <v>87.773218339654676</v>
      </c>
      <c r="X30" s="1">
        <v>87.843465009247751</v>
      </c>
      <c r="Y30" s="1">
        <v>87.913767898661419</v>
      </c>
      <c r="Z30" s="1">
        <v>87.984127052889548</v>
      </c>
    </row>
    <row r="31" spans="1:26">
      <c r="B31" s="1">
        <v>107.02210598456752</v>
      </c>
      <c r="C31" s="1">
        <v>107.10775792556348</v>
      </c>
      <c r="D31" s="1">
        <v>107.19347841552815</v>
      </c>
      <c r="E31" s="1">
        <v>107.27926750932268</v>
      </c>
      <c r="F31" s="1">
        <v>107.36512526185207</v>
      </c>
      <c r="G31" s="1">
        <v>107.45105172806528</v>
      </c>
      <c r="H31" s="1">
        <v>107.53704696295529</v>
      </c>
      <c r="I31" s="1">
        <v>107.62311102155901</v>
      </c>
      <c r="J31" s="1">
        <v>107.70924395895746</v>
      </c>
      <c r="K31" s="1">
        <v>107.79544583027572</v>
      </c>
      <c r="L31" s="1">
        <v>107.88171669068301</v>
      </c>
      <c r="M31" s="1">
        <v>107.96805659539264</v>
      </c>
      <c r="N31" s="1">
        <v>108.05446559966218</v>
      </c>
      <c r="O31" s="1">
        <v>108.14094375879338</v>
      </c>
      <c r="P31" s="1">
        <v>108.2274911281323</v>
      </c>
      <c r="Q31" s="1">
        <v>108.31410776306923</v>
      </c>
      <c r="R31" s="1">
        <v>108.40079371903883</v>
      </c>
      <c r="S31" s="1">
        <v>108.48754905152011</v>
      </c>
      <c r="T31" s="1">
        <v>108.57437381603647</v>
      </c>
      <c r="U31" s="1">
        <v>108.66126806815579</v>
      </c>
      <c r="V31" s="1">
        <v>82.014101229059619</v>
      </c>
      <c r="W31" s="1">
        <v>82.079738761555191</v>
      </c>
      <c r="X31" s="1">
        <v>82.145428825086384</v>
      </c>
      <c r="Y31" s="1">
        <v>82.211171461694818</v>
      </c>
      <c r="Z31" s="1">
        <v>82.276966713455792</v>
      </c>
    </row>
    <row r="32" spans="1:26">
      <c r="A32" s="1">
        <v>100</v>
      </c>
      <c r="B32" s="1">
        <v>100.08003200853504</v>
      </c>
      <c r="C32" s="1">
        <v>100.16012806829399</v>
      </c>
      <c r="D32" s="1">
        <v>100.24028823053831</v>
      </c>
      <c r="E32" s="1">
        <v>100.32051254657053</v>
      </c>
      <c r="F32" s="1">
        <v>100.40080106773419</v>
      </c>
      <c r="G32" s="1">
        <v>100.48115384541397</v>
      </c>
      <c r="H32" s="1">
        <v>100.56157093103565</v>
      </c>
      <c r="I32" s="1">
        <v>100.64205237606615</v>
      </c>
      <c r="J32" s="1">
        <v>100.7225982320136</v>
      </c>
      <c r="K32" s="1">
        <v>100.80320855042736</v>
      </c>
      <c r="L32" s="1">
        <v>100.88388338289803</v>
      </c>
      <c r="M32" s="1">
        <v>100.96462278105751</v>
      </c>
      <c r="N32" s="1">
        <v>101.04542679657902</v>
      </c>
      <c r="O32" s="1">
        <v>101.12629548117712</v>
      </c>
      <c r="P32" s="1">
        <v>101.20722888660779</v>
      </c>
      <c r="Q32" s="1">
        <v>101.2882270646684</v>
      </c>
      <c r="R32" s="1">
        <v>101.3692900671978</v>
      </c>
      <c r="S32" s="1">
        <v>101.45041794607629</v>
      </c>
      <c r="T32" s="1">
        <v>101.53161075322572</v>
      </c>
      <c r="U32" s="1">
        <v>101.61286854060951</v>
      </c>
      <c r="V32" s="1">
        <v>76.694191360232637</v>
      </c>
      <c r="W32" s="1">
        <v>76.755571262007933</v>
      </c>
      <c r="X32" s="1">
        <v>76.817000287351462</v>
      </c>
      <c r="Y32" s="1">
        <v>76.878478475577793</v>
      </c>
      <c r="Z32" s="1">
        <v>76.940005866032976</v>
      </c>
    </row>
    <row r="33" spans="2:26">
      <c r="B33" s="1">
        <v>93.588261179178232</v>
      </c>
      <c r="C33" s="1">
        <v>93.663161744352948</v>
      </c>
      <c r="D33" s="1">
        <v>93.738122253954373</v>
      </c>
      <c r="E33" s="1">
        <v>93.813142755957244</v>
      </c>
      <c r="F33" s="1">
        <v>93.888223298374683</v>
      </c>
      <c r="G33" s="1">
        <v>93.963363929258236</v>
      </c>
      <c r="H33" s="1">
        <v>94.038564696697918</v>
      </c>
      <c r="I33" s="1">
        <v>94.113825648822214</v>
      </c>
      <c r="J33" s="1">
        <v>94.189146833798134</v>
      </c>
      <c r="K33" s="1">
        <v>94.264528299831241</v>
      </c>
      <c r="L33" s="1">
        <v>94.339970095165683</v>
      </c>
      <c r="M33" s="1">
        <v>94.415472268084187</v>
      </c>
      <c r="N33" s="1">
        <v>94.49103486690818</v>
      </c>
      <c r="O33" s="1">
        <v>94.566657939997711</v>
      </c>
      <c r="P33" s="1">
        <v>94.642341535751555</v>
      </c>
      <c r="Q33" s="1">
        <v>94.718085702607212</v>
      </c>
      <c r="R33" s="1">
        <v>94.793890489040962</v>
      </c>
      <c r="S33" s="1">
        <v>94.869755943567839</v>
      </c>
      <c r="T33" s="1">
        <v>94.945682114741771</v>
      </c>
      <c r="U33" s="1">
        <v>95.021669051155499</v>
      </c>
      <c r="V33" s="1">
        <v>71.71936167381719</v>
      </c>
      <c r="W33" s="1">
        <v>71.776760119473252</v>
      </c>
      <c r="X33" s="1">
        <v>71.834204502258245</v>
      </c>
      <c r="Y33" s="1">
        <v>71.891694858936575</v>
      </c>
      <c r="Z33" s="1">
        <v>71.949231226302061</v>
      </c>
    </row>
    <row r="34" spans="2:26">
      <c r="C34" s="1">
        <v>87.587626305420784</v>
      </c>
      <c r="D34" s="1">
        <v>87.657724441981173</v>
      </c>
      <c r="E34" s="1">
        <v>87.7278786794882</v>
      </c>
      <c r="F34" s="1">
        <v>87.798089062840589</v>
      </c>
      <c r="G34" s="1">
        <v>87.868355636972964</v>
      </c>
      <c r="H34" s="1">
        <v>87.938678446855945</v>
      </c>
      <c r="I34" s="1">
        <v>88.009057537496147</v>
      </c>
      <c r="J34" s="1">
        <v>88.079492953936168</v>
      </c>
      <c r="K34" s="1">
        <v>88.14998474125467</v>
      </c>
      <c r="L34" s="1">
        <v>88.220532944566443</v>
      </c>
      <c r="M34" s="1">
        <v>88.291137609022286</v>
      </c>
      <c r="N34" s="1">
        <v>88.36179877980922</v>
      </c>
      <c r="O34" s="1">
        <v>88.432516502150392</v>
      </c>
      <c r="P34" s="1">
        <v>88.503290821305143</v>
      </c>
      <c r="Q34" s="1">
        <v>88.574121782569037</v>
      </c>
      <c r="R34" s="1">
        <v>88.64500943127392</v>
      </c>
      <c r="S34" s="1">
        <v>88.715953812787831</v>
      </c>
      <c r="T34" s="1">
        <v>88.786954972515232</v>
      </c>
      <c r="U34" s="1">
        <v>88.858012955896839</v>
      </c>
      <c r="V34" s="1">
        <v>67.067228269478633</v>
      </c>
      <c r="W34" s="1">
        <v>67.120903519331478</v>
      </c>
      <c r="X34" s="1">
        <v>67.174621726564865</v>
      </c>
      <c r="Y34" s="1">
        <v>67.228382925558449</v>
      </c>
      <c r="Z34" s="1">
        <v>67.282187150719409</v>
      </c>
    </row>
    <row r="35" spans="2:26">
      <c r="D35" s="1">
        <v>81.971736467359818</v>
      </c>
      <c r="E35" s="1">
        <v>82.037340094485685</v>
      </c>
      <c r="F35" s="1">
        <v>82.102996225512044</v>
      </c>
      <c r="G35" s="1">
        <v>82.168704902458757</v>
      </c>
      <c r="H35" s="1">
        <v>82.234466167379423</v>
      </c>
      <c r="I35" s="1">
        <v>82.300280062361267</v>
      </c>
      <c r="J35" s="1">
        <v>82.366146629525133</v>
      </c>
      <c r="K35" s="1">
        <v>82.432065911025646</v>
      </c>
      <c r="L35" s="1">
        <v>82.498037949051195</v>
      </c>
      <c r="M35" s="1">
        <v>82.564062785823808</v>
      </c>
      <c r="N35" s="1">
        <v>82.630140463599432</v>
      </c>
      <c r="O35" s="1">
        <v>82.696271024667766</v>
      </c>
      <c r="P35" s="1">
        <v>82.762454511352388</v>
      </c>
      <c r="Q35" s="1">
        <v>82.828690966010726</v>
      </c>
      <c r="R35" s="1">
        <v>82.894980431034128</v>
      </c>
      <c r="S35" s="1">
        <v>82.961322948847794</v>
      </c>
      <c r="T35" s="1">
        <v>83.027718561911001</v>
      </c>
      <c r="U35" s="1">
        <v>83.09416731271692</v>
      </c>
      <c r="V35" s="1">
        <v>62.716859196370365</v>
      </c>
      <c r="W35" s="1">
        <v>62.767052758475316</v>
      </c>
      <c r="X35" s="1">
        <v>62.817286491496176</v>
      </c>
      <c r="Y35" s="1">
        <v>62.867560427582525</v>
      </c>
      <c r="Z35" s="1">
        <v>62.917874598909705</v>
      </c>
    </row>
    <row r="36" spans="2:26">
      <c r="E36" s="1">
        <v>76.715922818180374</v>
      </c>
      <c r="F36" s="1">
        <v>76.777320112077973</v>
      </c>
      <c r="G36" s="1">
        <v>76.838766543463038</v>
      </c>
      <c r="H36" s="1">
        <v>76.900262151661323</v>
      </c>
      <c r="I36" s="1">
        <v>76.961806976030033</v>
      </c>
      <c r="J36" s="1">
        <v>77.023401055957805</v>
      </c>
      <c r="K36" s="1">
        <v>77.085044430864869</v>
      </c>
      <c r="L36" s="1">
        <v>77.146737140203044</v>
      </c>
      <c r="M36" s="1">
        <v>77.208479223455583</v>
      </c>
      <c r="N36" s="1">
        <v>77.270270720137475</v>
      </c>
      <c r="O36" s="1">
        <v>77.332111669795253</v>
      </c>
      <c r="P36" s="1">
        <v>77.394002112007158</v>
      </c>
      <c r="Q36" s="1">
        <v>77.455942086383047</v>
      </c>
      <c r="R36" s="1">
        <v>77.51793163256454</v>
      </c>
      <c r="S36" s="1">
        <v>77.579970790224877</v>
      </c>
      <c r="T36" s="1">
        <v>77.642059599069199</v>
      </c>
      <c r="U36" s="1">
        <v>77.704198098834311</v>
      </c>
      <c r="V36" s="1">
        <v>58.648680271276156</v>
      </c>
      <c r="W36" s="1">
        <v>58.695617988076556</v>
      </c>
      <c r="X36" s="1">
        <v>58.742593270074472</v>
      </c>
      <c r="Y36" s="1">
        <v>58.789606147334077</v>
      </c>
      <c r="Z36" s="1">
        <v>58.836656649943635</v>
      </c>
    </row>
    <row r="37" spans="2:26">
      <c r="F37" s="1">
        <v>71.797098213095452</v>
      </c>
      <c r="G37" s="1">
        <v>71.854558872865255</v>
      </c>
      <c r="H37" s="1">
        <v>71.912065519555199</v>
      </c>
      <c r="I37" s="1">
        <v>71.969618189969566</v>
      </c>
      <c r="J37" s="1">
        <v>72.027216920941996</v>
      </c>
      <c r="K37" s="1">
        <v>72.084861749335687</v>
      </c>
      <c r="L37" s="1">
        <v>72.142552712043411</v>
      </c>
      <c r="M37" s="1">
        <v>72.200289845987299</v>
      </c>
      <c r="N37" s="1">
        <v>72.25807318811917</v>
      </c>
      <c r="O37" s="1">
        <v>72.315902775420327</v>
      </c>
      <c r="P37" s="1">
        <v>72.373778644901748</v>
      </c>
      <c r="Q37" s="1">
        <v>72.431700833603969</v>
      </c>
      <c r="R37" s="1">
        <v>72.489669378597213</v>
      </c>
      <c r="S37" s="1">
        <v>72.547684316981289</v>
      </c>
      <c r="T37" s="1">
        <v>72.605745685885836</v>
      </c>
      <c r="U37" s="1">
        <v>72.663853522470106</v>
      </c>
      <c r="V37" s="1">
        <v>54.84438700593352</v>
      </c>
      <c r="W37" s="1">
        <v>54.888280070423107</v>
      </c>
      <c r="X37" s="1">
        <v>54.932208263413806</v>
      </c>
      <c r="Y37" s="1">
        <v>54.976171613019666</v>
      </c>
      <c r="Z37" s="1">
        <v>55.020170147377243</v>
      </c>
    </row>
    <row r="38" spans="2:26">
      <c r="G38" s="1">
        <v>67.193655794742867</v>
      </c>
      <c r="H38" s="1">
        <v>67.247432227083507</v>
      </c>
      <c r="I38" s="1">
        <v>67.301251697783115</v>
      </c>
      <c r="J38" s="1">
        <v>67.355114241286074</v>
      </c>
      <c r="K38" s="1">
        <v>67.409019892064421</v>
      </c>
      <c r="L38" s="1">
        <v>67.462968684617849</v>
      </c>
      <c r="M38" s="1">
        <v>67.516960653473504</v>
      </c>
      <c r="N38" s="1">
        <v>67.570995833186302</v>
      </c>
      <c r="O38" s="1">
        <v>67.625074258338714</v>
      </c>
      <c r="P38" s="1">
        <v>67.679195963540977</v>
      </c>
      <c r="Q38" s="1">
        <v>67.73336098343097</v>
      </c>
      <c r="R38" s="1">
        <v>67.787569352674311</v>
      </c>
      <c r="S38" s="1">
        <v>67.841821105964314</v>
      </c>
      <c r="T38" s="1">
        <v>67.896116278022177</v>
      </c>
      <c r="U38" s="1">
        <v>67.950454903596778</v>
      </c>
      <c r="V38" s="1">
        <v>51.286862247261261</v>
      </c>
      <c r="W38" s="1">
        <v>51.327908153232357</v>
      </c>
      <c r="X38" s="1">
        <v>51.368986909066408</v>
      </c>
      <c r="Y38" s="1">
        <v>51.410098541053834</v>
      </c>
      <c r="Z38" s="1">
        <v>51.451243075506092</v>
      </c>
    </row>
    <row r="39" spans="2:26">
      <c r="H39" s="1">
        <v>62.885374081021965</v>
      </c>
      <c r="I39" s="1">
        <v>62.935702508973812</v>
      </c>
      <c r="J39" s="1">
        <v>62.986071215777379</v>
      </c>
      <c r="K39" s="1">
        <v>63.036480233668655</v>
      </c>
      <c r="L39" s="1">
        <v>63.086929594909478</v>
      </c>
      <c r="M39" s="1">
        <v>63.137419331787363</v>
      </c>
      <c r="N39" s="1">
        <v>63.187949476615792</v>
      </c>
      <c r="O39" s="1">
        <v>63.238520061734015</v>
      </c>
      <c r="P39" s="1">
        <v>63.28913111950726</v>
      </c>
      <c r="Q39" s="1">
        <v>63.339782682326579</v>
      </c>
      <c r="R39" s="1">
        <v>63.39047478260899</v>
      </c>
      <c r="S39" s="1">
        <v>63.441207452797386</v>
      </c>
      <c r="T39" s="1">
        <v>63.491980725360747</v>
      </c>
      <c r="U39" s="1">
        <v>63.542794632793949</v>
      </c>
      <c r="V39" s="1">
        <v>47.960099159919146</v>
      </c>
      <c r="W39" s="1">
        <v>47.998482590572237</v>
      </c>
      <c r="X39" s="1">
        <v>48.036896740255813</v>
      </c>
      <c r="Y39" s="1">
        <v>48.075341633554942</v>
      </c>
      <c r="Z39" s="1">
        <v>48.113817295074362</v>
      </c>
    </row>
    <row r="40" spans="2:26">
      <c r="I40" s="1">
        <v>58.853328138450117</v>
      </c>
      <c r="J40" s="1">
        <v>58.90042963904903</v>
      </c>
      <c r="K40" s="1">
        <v>58.947568835924912</v>
      </c>
      <c r="L40" s="1">
        <v>58.994745759246896</v>
      </c>
      <c r="M40" s="1">
        <v>59.041960439208161</v>
      </c>
      <c r="N40" s="1">
        <v>59.089212906026127</v>
      </c>
      <c r="O40" s="1">
        <v>59.136503189942353</v>
      </c>
      <c r="P40" s="1">
        <v>59.183831321222655</v>
      </c>
      <c r="Q40" s="1">
        <v>59.231197330157023</v>
      </c>
      <c r="R40" s="1">
        <v>59.278601247059711</v>
      </c>
      <c r="S40" s="1">
        <v>59.326043102269189</v>
      </c>
      <c r="T40" s="1">
        <v>59.373522926148304</v>
      </c>
      <c r="U40" s="1">
        <v>59.421040749084128</v>
      </c>
      <c r="V40" s="1">
        <v>44.849129204665026</v>
      </c>
      <c r="W40" s="1">
        <v>44.885022863578001</v>
      </c>
      <c r="X40" s="1">
        <v>44.920945248907138</v>
      </c>
      <c r="Y40" s="1">
        <v>44.956896383642757</v>
      </c>
      <c r="Z40" s="1">
        <v>44.99287629079361</v>
      </c>
    </row>
    <row r="41" spans="2:26">
      <c r="J41" s="1">
        <v>55.079806450851478</v>
      </c>
      <c r="K41" s="1">
        <v>55.123887926251292</v>
      </c>
      <c r="L41" s="1">
        <v>55.168004680941294</v>
      </c>
      <c r="M41" s="1">
        <v>55.212156743156157</v>
      </c>
      <c r="N41" s="1">
        <v>55.256344141153221</v>
      </c>
      <c r="O41" s="1">
        <v>55.300566903212406</v>
      </c>
      <c r="P41" s="1">
        <v>55.344825057636314</v>
      </c>
      <c r="Q41" s="1">
        <v>55.389118632750147</v>
      </c>
      <c r="R41" s="1">
        <v>55.433447656901805</v>
      </c>
      <c r="S41" s="1">
        <v>55.477812158461823</v>
      </c>
      <c r="T41" s="1">
        <v>55.522212165823539</v>
      </c>
      <c r="U41" s="1">
        <v>55.56664770740295</v>
      </c>
      <c r="V41" s="1">
        <v>41.939954788453115</v>
      </c>
      <c r="W41" s="1">
        <v>41.973520176649011</v>
      </c>
      <c r="X41" s="1">
        <v>42.007112427899244</v>
      </c>
      <c r="Y41" s="1">
        <v>42.040731563702856</v>
      </c>
      <c r="Z41" s="1">
        <v>42.074377605576117</v>
      </c>
    </row>
    <row r="42" spans="2:26">
      <c r="K42" s="1">
        <v>51.548233118208721</v>
      </c>
      <c r="L42" s="1">
        <v>51.589488204537567</v>
      </c>
      <c r="M42" s="1">
        <v>51.630776308140611</v>
      </c>
      <c r="N42" s="1">
        <v>51.672097455442248</v>
      </c>
      <c r="O42" s="1">
        <v>51.713451672888006</v>
      </c>
      <c r="P42" s="1">
        <v>51.75483898694462</v>
      </c>
      <c r="Q42" s="1">
        <v>51.796259424099951</v>
      </c>
      <c r="R42" s="1">
        <v>51.837713010863091</v>
      </c>
      <c r="S42" s="1">
        <v>51.879199773764292</v>
      </c>
      <c r="T42" s="1">
        <v>51.92071973935515</v>
      </c>
      <c r="U42" s="1">
        <v>51.962272934208414</v>
      </c>
      <c r="V42" s="1">
        <v>39.219486283237167</v>
      </c>
      <c r="W42" s="1">
        <v>39.250874425846774</v>
      </c>
      <c r="X42" s="1">
        <v>39.282287689017345</v>
      </c>
      <c r="Y42" s="1">
        <v>39.313726092853372</v>
      </c>
      <c r="Z42" s="1">
        <v>39.345189657475451</v>
      </c>
    </row>
    <row r="43" spans="2:26">
      <c r="L43" s="1">
        <v>48.243095043920846</v>
      </c>
      <c r="M43" s="1">
        <v>48.281704961863966</v>
      </c>
      <c r="N43" s="1">
        <v>48.320345780099906</v>
      </c>
      <c r="O43" s="1">
        <v>48.35901752335878</v>
      </c>
      <c r="P43" s="1">
        <v>48.397720216390539</v>
      </c>
      <c r="Q43" s="1">
        <v>48.436453883964894</v>
      </c>
      <c r="R43" s="1">
        <v>48.475218550871389</v>
      </c>
      <c r="S43" s="1">
        <v>48.514014241919384</v>
      </c>
      <c r="T43" s="1">
        <v>48.552840981938175</v>
      </c>
      <c r="U43" s="1">
        <v>48.59169879577685</v>
      </c>
      <c r="V43" s="1">
        <v>36.675483130099032</v>
      </c>
      <c r="W43" s="1">
        <v>36.704835255887986</v>
      </c>
      <c r="X43" s="1">
        <v>36.734210872772749</v>
      </c>
      <c r="Y43" s="1">
        <v>36.763609999553722</v>
      </c>
      <c r="Z43" s="1">
        <v>36.79303265504636</v>
      </c>
    </row>
    <row r="44" spans="2:26">
      <c r="M44" s="1">
        <v>45.149873790623829</v>
      </c>
      <c r="N44" s="1">
        <v>45.1860081414695</v>
      </c>
      <c r="O44" s="1">
        <v>45.222171411361906</v>
      </c>
      <c r="P44" s="1">
        <v>45.258363623445582</v>
      </c>
      <c r="Q44" s="1">
        <v>45.294584800883527</v>
      </c>
      <c r="R44" s="1">
        <v>45.330834966857289</v>
      </c>
      <c r="S44" s="1">
        <v>45.367114144566955</v>
      </c>
      <c r="T44" s="1">
        <v>45.403422357231243</v>
      </c>
      <c r="U44" s="1">
        <v>45.439759628087387</v>
      </c>
      <c r="V44" s="1">
        <v>34.29649876370474</v>
      </c>
      <c r="W44" s="1">
        <v>34.323946940522539</v>
      </c>
      <c r="X44" s="1">
        <v>34.351417084667538</v>
      </c>
      <c r="Y44" s="1">
        <v>34.37890921372064</v>
      </c>
      <c r="Z44" s="1">
        <v>34.406423345276828</v>
      </c>
    </row>
    <row r="45" spans="2:26">
      <c r="N45" s="1">
        <v>42.254981805238366</v>
      </c>
      <c r="O45" s="1">
        <v>42.288799315883196</v>
      </c>
      <c r="P45" s="1">
        <v>42.322643891361054</v>
      </c>
      <c r="Q45" s="1">
        <v>42.35651555333245</v>
      </c>
      <c r="R45" s="1">
        <v>42.390414323475248</v>
      </c>
      <c r="S45" s="1">
        <v>42.424340223484634</v>
      </c>
      <c r="T45" s="1">
        <v>42.458293275073238</v>
      </c>
      <c r="U45" s="1">
        <v>42.492273499970977</v>
      </c>
      <c r="V45" s="1">
        <v>32.071829109279541</v>
      </c>
      <c r="W45" s="1">
        <v>32.097496838289636</v>
      </c>
      <c r="X45" s="1">
        <v>32.123185109698788</v>
      </c>
      <c r="Y45" s="1">
        <v>32.148893939947499</v>
      </c>
      <c r="Z45" s="1">
        <v>32.174623345489451</v>
      </c>
    </row>
    <row r="46" spans="2:26">
      <c r="O46" s="1">
        <v>39.545702733100704</v>
      </c>
      <c r="P46" s="1">
        <v>39.577351953287305</v>
      </c>
      <c r="Q46" s="1">
        <v>39.609026502980505</v>
      </c>
      <c r="R46" s="1">
        <v>39.640726402452032</v>
      </c>
      <c r="S46" s="1">
        <v>39.672451671989776</v>
      </c>
      <c r="T46" s="1">
        <v>39.704202331897974</v>
      </c>
      <c r="U46" s="1">
        <v>39.735978402497004</v>
      </c>
      <c r="V46" s="1">
        <v>29.991464420367553</v>
      </c>
      <c r="W46" s="1">
        <v>30.01546719173226</v>
      </c>
      <c r="X46" s="1">
        <v>30.039489172996976</v>
      </c>
      <c r="Y46" s="1">
        <v>30.063530379535781</v>
      </c>
      <c r="Z46" s="1">
        <v>30.087590826735077</v>
      </c>
    </row>
    <row r="47" spans="2:26">
      <c r="P47" s="1">
        <v>37.010135558995714</v>
      </c>
      <c r="Q47" s="1">
        <v>37.039755513845122</v>
      </c>
      <c r="R47" s="1">
        <v>37.069399174139335</v>
      </c>
      <c r="S47" s="1">
        <v>37.099066558850254</v>
      </c>
      <c r="T47" s="1">
        <v>37.128757686965059</v>
      </c>
      <c r="U47" s="1">
        <v>37.158472577486044</v>
      </c>
      <c r="V47" s="1">
        <v>28.04604424067346</v>
      </c>
      <c r="W47" s="1">
        <v>28.068490053193909</v>
      </c>
      <c r="X47" s="1">
        <v>28.090953829548937</v>
      </c>
      <c r="Y47" s="1">
        <v>28.113435584115365</v>
      </c>
      <c r="Z47" s="1">
        <v>28.135935331281548</v>
      </c>
    </row>
    <row r="48" spans="2:26">
      <c r="Q48" s="1">
        <v>34.637142329720824</v>
      </c>
      <c r="R48" s="1">
        <v>34.664863130426454</v>
      </c>
      <c r="S48" s="1">
        <v>34.692606116645642</v>
      </c>
      <c r="T48" s="1">
        <v>34.720371306133949</v>
      </c>
      <c r="U48" s="1">
        <v>34.748158716661074</v>
      </c>
      <c r="V48" s="1">
        <v>26.226815287340116</v>
      </c>
      <c r="W48" s="1">
        <v>26.24780513438936</v>
      </c>
      <c r="X48" s="1">
        <v>26.268811780034774</v>
      </c>
      <c r="Y48" s="1">
        <v>26.289835237720617</v>
      </c>
      <c r="Z48" s="1">
        <v>26.310875520901927</v>
      </c>
    </row>
    <row r="49" spans="18:26">
      <c r="R49" s="1">
        <v>32.416299228542833</v>
      </c>
      <c r="S49" s="1">
        <v>32.442242643908152</v>
      </c>
      <c r="T49" s="1">
        <v>32.468206822309888</v>
      </c>
      <c r="U49" s="1">
        <v>32.494191780365099</v>
      </c>
      <c r="V49" s="1">
        <v>24.525592066160851</v>
      </c>
      <c r="W49" s="1">
        <v>24.545220390096521</v>
      </c>
      <c r="X49" s="1">
        <v>24.564864422974065</v>
      </c>
      <c r="Y49" s="1">
        <v>24.584524177365672</v>
      </c>
      <c r="Z49" s="1">
        <v>24.60419966585361</v>
      </c>
    </row>
    <row r="50" spans="18:26">
      <c r="S50" s="1">
        <v>30.33785078663259</v>
      </c>
      <c r="T50" s="1">
        <v>30.3621307779635</v>
      </c>
      <c r="U50" s="1">
        <v>30.386430201059145</v>
      </c>
      <c r="V50" s="1">
        <v>22.934720041517316</v>
      </c>
      <c r="W50" s="1">
        <v>22.953075158618439</v>
      </c>
      <c r="X50" s="1">
        <v>22.971444965688438</v>
      </c>
      <c r="Y50" s="1">
        <v>22.989829474483994</v>
      </c>
      <c r="Z50" s="1">
        <v>23.008228696771212</v>
      </c>
    </row>
    <row r="51" spans="18:26">
      <c r="T51" s="1">
        <v>28.392667030343087</v>
      </c>
      <c r="U51" s="1">
        <v>28.415390252044144</v>
      </c>
      <c r="V51" s="1">
        <v>21.447041195328598</v>
      </c>
      <c r="W51" s="1">
        <v>21.464205693168566</v>
      </c>
      <c r="X51" s="1">
        <v>21.4813839281009</v>
      </c>
      <c r="Y51" s="1">
        <v>21.498575911119676</v>
      </c>
      <c r="Z51" s="1">
        <v>21.515781653227783</v>
      </c>
    </row>
    <row r="52" spans="18:26">
      <c r="U52" s="1">
        <v>26.57220337609192</v>
      </c>
      <c r="V52" s="1">
        <v>20.055861820046481</v>
      </c>
      <c r="W52" s="1">
        <v>20.071912929090086</v>
      </c>
      <c r="X52" s="1">
        <v>20.087976884158639</v>
      </c>
      <c r="Y52" s="1">
        <v>20.104053695533079</v>
      </c>
      <c r="Z52" s="1">
        <v>20.120143373502586</v>
      </c>
    </row>
    <row r="53" spans="18:26">
      <c r="V53" s="1">
        <v>18.754922400783652</v>
      </c>
      <c r="W53" s="1">
        <v>18.769932341880196</v>
      </c>
      <c r="X53" s="1">
        <v>18.784954295734071</v>
      </c>
      <c r="Y53" s="1">
        <v>18.799988271959329</v>
      </c>
      <c r="Z53" s="1">
        <v>18.815034280177738</v>
      </c>
    </row>
    <row r="54" spans="18:26">
      <c r="V54" s="1">
        <v>17.538369451061627</v>
      </c>
      <c r="W54" s="1">
        <v>17.552405760397615</v>
      </c>
      <c r="X54" s="1">
        <v>17.566453303273882</v>
      </c>
      <c r="Y54" s="1">
        <v>17.580512088680855</v>
      </c>
      <c r="Z54" s="1">
        <v>17.594582125616178</v>
      </c>
    </row>
    <row r="55" spans="18:26">
      <c r="V55" s="1">
        <v>16.400729175455254</v>
      </c>
      <c r="W55" s="1">
        <v>16.413855008428769</v>
      </c>
      <c r="X55" s="1">
        <v>16.426991346270043</v>
      </c>
      <c r="Y55" s="1">
        <v>16.440138197386336</v>
      </c>
      <c r="Z55" s="1">
        <v>16.453295570191646</v>
      </c>
    </row>
    <row r="56" spans="18:26">
      <c r="V56" s="1">
        <v>15.336882840630723</v>
      </c>
      <c r="W56" s="1">
        <v>15.349157256014752</v>
      </c>
      <c r="X56" s="1">
        <v>15.361441494859942</v>
      </c>
      <c r="Y56" s="1">
        <v>15.373735565028209</v>
      </c>
      <c r="Z56" s="1">
        <v>15.386039474387772</v>
      </c>
    </row>
    <row r="57" spans="18:26">
      <c r="V57" s="1">
        <v>14.342043743960785</v>
      </c>
      <c r="W57" s="1">
        <v>14.353521969634055</v>
      </c>
      <c r="X57" s="1">
        <v>14.365009381561872</v>
      </c>
      <c r="Y57" s="1">
        <v>14.376505987096179</v>
      </c>
      <c r="Z57" s="1">
        <v>14.388011793594817</v>
      </c>
    </row>
    <row r="58" spans="18:26">
      <c r="V58" s="1">
        <v>13.411735676089027</v>
      </c>
      <c r="W58" s="1">
        <v>13.422469357530016</v>
      </c>
      <c r="X58" s="1">
        <v>13.433211629351847</v>
      </c>
      <c r="Y58" s="1">
        <v>13.443962498429576</v>
      </c>
      <c r="Z58" s="1">
        <v>13.454721971643771</v>
      </c>
    </row>
    <row r="59" spans="18:26">
      <c r="V59" s="1">
        <v>12.541772780537059</v>
      </c>
      <c r="W59" s="1">
        <v>12.551810213199227</v>
      </c>
      <c r="X59" s="1">
        <v>12.561855679020356</v>
      </c>
      <c r="Y59" s="1">
        <v>12.571909184429545</v>
      </c>
      <c r="Z59" s="1">
        <v>12.58197073586105</v>
      </c>
    </row>
    <row r="60" spans="18:26">
      <c r="V60" s="1">
        <v>11.728240719734279</v>
      </c>
      <c r="W60" s="1">
        <v>11.737627066348109</v>
      </c>
      <c r="X60" s="1">
        <v>11.747020925043659</v>
      </c>
      <c r="Y60" s="1">
        <v>11.756422301833</v>
      </c>
      <c r="Z60" s="1">
        <v>11.765831202733022</v>
      </c>
    </row>
    <row r="61" spans="18:26">
      <c r="V61" s="1">
        <v>10.967479062728088</v>
      </c>
      <c r="W61" s="1">
        <v>10.976256556507652</v>
      </c>
      <c r="X61" s="1">
        <v>10.985041075091782</v>
      </c>
      <c r="Y61" s="1">
        <v>10.993832624102575</v>
      </c>
      <c r="Z61" s="1">
        <v>11.002631209166628</v>
      </c>
    </row>
    <row r="62" spans="18:26">
      <c r="V62" s="1">
        <v>10.256064815329289</v>
      </c>
      <c r="W62" s="1">
        <v>10.264272949997654</v>
      </c>
      <c r="X62" s="1">
        <v>10.272487653801054</v>
      </c>
      <c r="Y62" s="1">
        <v>10.280708931996903</v>
      </c>
      <c r="Z62" s="1">
        <v>10.288936789846824</v>
      </c>
    </row>
    <row r="63" spans="18:26">
      <c r="V63" s="1">
        <v>9.5907970185876827</v>
      </c>
      <c r="W63" s="1">
        <v>9.5984727260761797</v>
      </c>
      <c r="X63" s="1">
        <v>9.606154576587544</v>
      </c>
      <c r="Y63" s="1">
        <v>9.6138425750381664</v>
      </c>
      <c r="Z63" s="1">
        <v>9.6215367263483689</v>
      </c>
    </row>
    <row r="64" spans="18:26">
      <c r="V64" s="1">
        <v>8.9686823462998078</v>
      </c>
      <c r="W64" s="1">
        <v>8.9758601629206805</v>
      </c>
      <c r="X64" s="1">
        <v>8.9830437240923615</v>
      </c>
      <c r="Y64" s="1">
        <v>8.9902330344123325</v>
      </c>
      <c r="Z64" s="1">
        <v>8.9974280984817554</v>
      </c>
    </row>
    <row r="65" spans="22:26">
      <c r="V65" s="1">
        <v>8.3869216367457664</v>
      </c>
      <c r="W65" s="1">
        <v>8.3936338585859147</v>
      </c>
      <c r="X65" s="1">
        <v>8.4003514523520177</v>
      </c>
      <c r="Y65" s="1">
        <v>8.4070744223433369</v>
      </c>
      <c r="Z65" s="1">
        <v>8.4138027728625762</v>
      </c>
    </row>
    <row r="66" spans="22:26">
      <c r="V66" s="1">
        <v>7.8428972980556626</v>
      </c>
      <c r="W66" s="1">
        <v>7.849174126290638</v>
      </c>
      <c r="X66" s="1">
        <v>7.8554559779973205</v>
      </c>
      <c r="Y66" s="1">
        <v>7.8617428571960968</v>
      </c>
      <c r="Z66" s="1">
        <v>7.8680347679105731</v>
      </c>
    </row>
    <row r="67" spans="22:26">
      <c r="V67" s="1">
        <v>7.334161530536953</v>
      </c>
      <c r="W67" s="1">
        <v>7.340031207319047</v>
      </c>
      <c r="X67" s="1">
        <v>7.3459055817213619</v>
      </c>
      <c r="Y67" s="1">
        <v>7.3517846575035009</v>
      </c>
      <c r="Z67" s="1">
        <v>7.3576684384280737</v>
      </c>
    </row>
    <row r="68" spans="22:26">
      <c r="V68" s="1">
        <v>6.8584253129698931</v>
      </c>
      <c r="W68" s="1">
        <v>6.8639142485017395</v>
      </c>
      <c r="X68" s="1">
        <v>6.8694075769389373</v>
      </c>
      <c r="Y68" s="1">
        <v>6.8749053017972193</v>
      </c>
      <c r="Z68" s="1">
        <v>6.8804074265951316</v>
      </c>
    </row>
    <row r="69" spans="22:26">
      <c r="V69" s="1">
        <v>6.4135481033156907</v>
      </c>
      <c r="W69" s="1">
        <v>6.4186809946811358</v>
      </c>
      <c r="X69" s="1">
        <v>6.4238179940026354</v>
      </c>
      <c r="Y69" s="1">
        <v>6.4289591045678707</v>
      </c>
      <c r="Z69" s="1">
        <v>6.4341043296671545</v>
      </c>
    </row>
    <row r="70" spans="22:26">
      <c r="W70" s="1">
        <v>6.0023281497833203</v>
      </c>
      <c r="X70" s="1">
        <v>6.0071319335604558</v>
      </c>
      <c r="Y70" s="1">
        <v>6.0119395619022331</v>
      </c>
      <c r="Z70" s="1">
        <v>6.0167510378855384</v>
      </c>
    </row>
    <row r="71" spans="22:26">
      <c r="X71" s="1">
        <v>5.6174745456505493</v>
      </c>
      <c r="Y71" s="1">
        <v>5.6219703233583775</v>
      </c>
      <c r="Z71" s="1">
        <v>5.6264696991274077</v>
      </c>
    </row>
    <row r="72" spans="22:26">
      <c r="Y72" s="1">
        <v>5.2572967494572911</v>
      </c>
      <c r="Z72" s="1">
        <v>5.2615042696405316</v>
      </c>
    </row>
    <row r="73" spans="22:26">
      <c r="Z73" s="1">
        <v>4.9202126128465391</v>
      </c>
    </row>
  </sheetData>
  <conditionalFormatting sqref="A1:XFD1048576">
    <cfRule type="colorScale" priority="1">
      <colorScale>
        <cfvo type="min"/>
        <cfvo type="percentile" val="25"/>
        <cfvo type="percentile" val="75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>
    <tabColor theme="5" tint="0.79998168889431442"/>
  </sheetPr>
  <dimension ref="A1:Z73"/>
  <sheetViews>
    <sheetView tabSelected="1" zoomScale="25" zoomScaleNormal="25" workbookViewId="0">
      <selection activeCell="N77" sqref="N77"/>
    </sheetView>
  </sheetViews>
  <sheetFormatPr defaultColWidth="10.85546875" defaultRowHeight="15"/>
  <cols>
    <col min="1" max="1" width="21.7109375" style="2" bestFit="1" customWidth="1"/>
    <col min="2" max="16384" width="10.85546875" style="2"/>
  </cols>
  <sheetData>
    <row r="1" spans="1:26" ht="28.5">
      <c r="A1" s="55" t="s">
        <v>29</v>
      </c>
    </row>
    <row r="4" spans="1:26">
      <c r="Z4" s="2">
        <v>403.13185704127056</v>
      </c>
    </row>
    <row r="5" spans="1:26">
      <c r="Y5" s="2">
        <v>370.1995310769517</v>
      </c>
      <c r="Z5" s="2">
        <v>370.49580919726014</v>
      </c>
    </row>
    <row r="6" spans="1:26">
      <c r="X6" s="2">
        <v>339.43319671783183</v>
      </c>
      <c r="Y6" s="2">
        <v>339.70485192279972</v>
      </c>
      <c r="Z6" s="2">
        <v>339.9767245388847</v>
      </c>
    </row>
    <row r="7" spans="1:26">
      <c r="W7" s="2">
        <v>310.69073130564379</v>
      </c>
      <c r="X7" s="2">
        <v>310.93938333823968</v>
      </c>
      <c r="Y7" s="2">
        <v>311.18823437205162</v>
      </c>
      <c r="Z7" s="2">
        <v>311.43728456634449</v>
      </c>
    </row>
    <row r="8" spans="1:26">
      <c r="V8" s="2">
        <v>283.839337365125</v>
      </c>
      <c r="W8" s="2">
        <v>284.0664996878312</v>
      </c>
      <c r="X8" s="2">
        <v>284.29384381310626</v>
      </c>
      <c r="Y8" s="2">
        <v>284.52136988645128</v>
      </c>
      <c r="Z8" s="2">
        <v>284.74907805348295</v>
      </c>
    </row>
    <row r="9" spans="1:26">
      <c r="V9" s="2">
        <v>258.96201751341897</v>
      </c>
      <c r="W9" s="2">
        <v>259.1692700173781</v>
      </c>
      <c r="X9" s="2">
        <v>259.37668838967835</v>
      </c>
      <c r="Y9" s="2">
        <v>259.58427276306821</v>
      </c>
      <c r="Z9" s="2">
        <v>259.79202327040173</v>
      </c>
    </row>
    <row r="10" spans="1:26">
      <c r="V10" s="2">
        <v>235.69838478875261</v>
      </c>
      <c r="W10" s="2">
        <v>235.88701894018391</v>
      </c>
      <c r="X10" s="2">
        <v>236.07580405931495</v>
      </c>
      <c r="Y10" s="2">
        <v>236.2647402669688</v>
      </c>
      <c r="Z10" s="2">
        <v>236.45382768406466</v>
      </c>
    </row>
    <row r="11" spans="1:26">
      <c r="V11" s="2">
        <v>213.94376609291839</v>
      </c>
      <c r="W11" s="2">
        <v>214.11498958605833</v>
      </c>
      <c r="X11" s="2">
        <v>214.2863501127984</v>
      </c>
      <c r="Y11" s="2">
        <v>214.45784778281015</v>
      </c>
      <c r="Z11" s="2">
        <v>214.62948270585179</v>
      </c>
    </row>
    <row r="12" spans="1:26">
      <c r="U12" s="2">
        <v>263.98971945250349</v>
      </c>
      <c r="V12" s="2">
        <v>193.6002780314285</v>
      </c>
      <c r="W12" s="2">
        <v>193.7552202224667</v>
      </c>
      <c r="X12" s="2">
        <v>193.91028641685207</v>
      </c>
      <c r="Y12" s="2">
        <v>194.06547671382745</v>
      </c>
      <c r="Z12" s="2">
        <v>194.22079121271474</v>
      </c>
    </row>
    <row r="13" spans="1:26">
      <c r="T13" s="2">
        <v>238.59383194981271</v>
      </c>
      <c r="U13" s="2">
        <v>238.78478338576292</v>
      </c>
      <c r="V13" s="2">
        <v>174.57638649398538</v>
      </c>
      <c r="W13" s="2">
        <v>174.7161034825246</v>
      </c>
      <c r="X13" s="2">
        <v>174.85593228937566</v>
      </c>
      <c r="Y13" s="2">
        <v>174.99587300402945</v>
      </c>
      <c r="Z13" s="2">
        <v>175.13592571604812</v>
      </c>
    </row>
    <row r="14" spans="1:26">
      <c r="S14" s="2">
        <v>214.87071720348325</v>
      </c>
      <c r="T14" s="2">
        <v>215.04268255421493</v>
      </c>
      <c r="U14" s="2">
        <v>215.21478553227075</v>
      </c>
      <c r="V14" s="2">
        <v>156.78649480311589</v>
      </c>
      <c r="W14" s="2">
        <v>156.91197418401867</v>
      </c>
      <c r="X14" s="2">
        <v>157.03755398859005</v>
      </c>
      <c r="Y14" s="2">
        <v>157.16323429720131</v>
      </c>
      <c r="Z14" s="2">
        <v>157.28901519028807</v>
      </c>
    </row>
    <row r="15" spans="1:26">
      <c r="R15" s="2">
        <v>192.71061340221638</v>
      </c>
      <c r="S15" s="2">
        <v>192.86484357678242</v>
      </c>
      <c r="T15" s="2">
        <v>193.01919718485487</v>
      </c>
      <c r="U15" s="2">
        <v>193.17367432522025</v>
      </c>
      <c r="V15" s="2">
        <v>140.15055857787175</v>
      </c>
      <c r="W15" s="2">
        <v>140.26272388487479</v>
      </c>
      <c r="X15" s="2">
        <v>140.37497896002571</v>
      </c>
      <c r="Y15" s="2">
        <v>140.48732387516799</v>
      </c>
      <c r="Z15" s="2">
        <v>140.59975870220248</v>
      </c>
    </row>
    <row r="16" spans="1:26">
      <c r="Q16" s="2">
        <v>172.01096060676429</v>
      </c>
      <c r="R16" s="2">
        <v>172.14862443343819</v>
      </c>
      <c r="S16" s="2">
        <v>172.28639843523777</v>
      </c>
      <c r="T16" s="2">
        <v>172.42428270033815</v>
      </c>
      <c r="U16" s="2">
        <v>172.56227731698547</v>
      </c>
      <c r="V16" s="2">
        <v>124.59372557970156</v>
      </c>
      <c r="W16" s="2">
        <v>124.69344044079172</v>
      </c>
      <c r="X16" s="2">
        <v>124.79323510568786</v>
      </c>
      <c r="Y16" s="2">
        <v>124.89310963825875</v>
      </c>
      <c r="Z16" s="2">
        <v>124.99306410242414</v>
      </c>
    </row>
    <row r="17" spans="1:26">
      <c r="P17" s="2">
        <v>152.67592820915206</v>
      </c>
      <c r="Q17" s="2">
        <v>152.79811782104741</v>
      </c>
      <c r="R17" s="2">
        <v>152.92040522374327</v>
      </c>
      <c r="S17" s="2">
        <v>153.04279049550382</v>
      </c>
      <c r="T17" s="2">
        <v>153.16527371465546</v>
      </c>
      <c r="U17" s="2">
        <v>153.28785495958761</v>
      </c>
      <c r="V17" s="2">
        <v>110.04599892000741</v>
      </c>
      <c r="W17" s="2">
        <v>110.13407094325564</v>
      </c>
      <c r="X17" s="2">
        <v>110.22221345231284</v>
      </c>
      <c r="Y17" s="2">
        <v>110.31042650359048</v>
      </c>
      <c r="Z17" s="2">
        <v>110.3987101535449</v>
      </c>
    </row>
    <row r="18" spans="1:26">
      <c r="O18" s="2">
        <v>134.6159733970041</v>
      </c>
      <c r="P18" s="2">
        <v>134.72370926432279</v>
      </c>
      <c r="Q18" s="2">
        <v>134.83153135481996</v>
      </c>
      <c r="R18" s="2">
        <v>134.93943973750171</v>
      </c>
      <c r="S18" s="2">
        <v>135.04743448142963</v>
      </c>
      <c r="T18" s="2">
        <v>135.15551565572011</v>
      </c>
      <c r="U18" s="2">
        <v>135.26368332954547</v>
      </c>
      <c r="V18" s="2">
        <v>96.44192211401041</v>
      </c>
      <c r="W18" s="2">
        <v>96.519106521348135</v>
      </c>
      <c r="X18" s="2">
        <v>96.596352700917166</v>
      </c>
      <c r="Y18" s="2">
        <v>96.673660702155274</v>
      </c>
      <c r="Z18" s="2">
        <v>96.751030574539584</v>
      </c>
    </row>
    <row r="19" spans="1:26">
      <c r="N19" s="2">
        <v>117.7474286175003</v>
      </c>
      <c r="O19" s="2">
        <v>117.84166422071306</v>
      </c>
      <c r="P19" s="2">
        <v>117.93597527148</v>
      </c>
      <c r="Q19" s="2">
        <v>118.03036180127518</v>
      </c>
      <c r="R19" s="2">
        <v>118.12482387050589</v>
      </c>
      <c r="S19" s="2">
        <v>118.21936153962803</v>
      </c>
      <c r="T19" s="2">
        <v>118.31397486914541</v>
      </c>
      <c r="U19" s="2">
        <v>118.40866391961097</v>
      </c>
      <c r="V19" s="2">
        <v>83.720284563847883</v>
      </c>
      <c r="W19" s="2">
        <v>83.787287589135644</v>
      </c>
      <c r="X19" s="2">
        <v>83.854344238290167</v>
      </c>
      <c r="Y19" s="2">
        <v>83.921454554227935</v>
      </c>
      <c r="Z19" s="2">
        <v>83.988618579899537</v>
      </c>
    </row>
    <row r="20" spans="1:26">
      <c r="M20" s="2">
        <v>101.9921250392826</v>
      </c>
      <c r="N20" s="2">
        <v>102.07374413449517</v>
      </c>
      <c r="O20" s="2">
        <v>102.15543410014618</v>
      </c>
      <c r="P20" s="2">
        <v>102.23719098856988</v>
      </c>
      <c r="Q20" s="2">
        <v>102.31901346598784</v>
      </c>
      <c r="R20" s="2">
        <v>102.40090142757788</v>
      </c>
      <c r="S20" s="2">
        <v>102.48285492574843</v>
      </c>
      <c r="T20" s="2">
        <v>102.56487401294947</v>
      </c>
      <c r="U20" s="2">
        <v>102.64695874167363</v>
      </c>
      <c r="V20" s="2">
        <v>71.823846145743474</v>
      </c>
      <c r="W20" s="2">
        <v>71.881328212421082</v>
      </c>
      <c r="X20" s="2">
        <v>71.938856283151097</v>
      </c>
      <c r="Y20" s="2">
        <v>71.996430394751613</v>
      </c>
      <c r="Z20" s="2">
        <v>72.054050584070097</v>
      </c>
    </row>
    <row r="21" spans="1:26">
      <c r="L21" s="2">
        <v>87.277298022301835</v>
      </c>
      <c r="M21" s="2">
        <v>87.34696651667474</v>
      </c>
      <c r="N21" s="2">
        <v>87.416785081919897</v>
      </c>
      <c r="O21" s="2">
        <v>87.486713019740847</v>
      </c>
      <c r="P21" s="2">
        <v>87.556721682457265</v>
      </c>
      <c r="Q21" s="2">
        <v>87.626794229342096</v>
      </c>
      <c r="R21" s="2">
        <v>87.69692371277867</v>
      </c>
      <c r="S21" s="2">
        <v>87.767109322249539</v>
      </c>
      <c r="T21" s="2">
        <v>87.83735110267321</v>
      </c>
      <c r="U21" s="2">
        <v>87.907649099004757</v>
      </c>
      <c r="V21" s="2">
        <v>60.699079662049584</v>
      </c>
      <c r="W21" s="2">
        <v>60.747658354665447</v>
      </c>
      <c r="X21" s="2">
        <v>60.796275925784641</v>
      </c>
      <c r="Y21" s="2">
        <v>60.844932406522524</v>
      </c>
      <c r="Z21" s="2">
        <v>60.893627828019277</v>
      </c>
    </row>
    <row r="22" spans="1:26">
      <c r="K22" s="2">
        <v>73.537853938966236</v>
      </c>
      <c r="L22" s="2">
        <v>73.594991299791644</v>
      </c>
      <c r="M22" s="2">
        <v>73.652763558533621</v>
      </c>
      <c r="N22" s="2">
        <v>73.71103421117617</v>
      </c>
      <c r="O22" s="2">
        <v>73.769672192081615</v>
      </c>
      <c r="P22" s="2">
        <v>73.828560053121947</v>
      </c>
      <c r="Q22" s="2">
        <v>73.88760212723686</v>
      </c>
      <c r="R22" s="2">
        <v>73.946731200569218</v>
      </c>
      <c r="S22" s="2">
        <v>74.005912254795106</v>
      </c>
      <c r="T22" s="2">
        <v>74.065140672807203</v>
      </c>
      <c r="U22" s="2">
        <v>74.124416492512069</v>
      </c>
      <c r="V22" s="2">
        <v>50.295929999342412</v>
      </c>
      <c r="W22" s="2">
        <v>50.336182842332285</v>
      </c>
      <c r="X22" s="2">
        <v>50.376467900480847</v>
      </c>
      <c r="Y22" s="2">
        <v>50.416785199570576</v>
      </c>
      <c r="Z22" s="2">
        <v>50.457134765404646</v>
      </c>
    </row>
    <row r="23" spans="1:26">
      <c r="J23" s="2">
        <v>60.728138473167284</v>
      </c>
      <c r="K23" s="2">
        <v>60.767863969230739</v>
      </c>
      <c r="L23" s="2">
        <v>60.809531574555571</v>
      </c>
      <c r="M23" s="2">
        <v>60.852975632061856</v>
      </c>
      <c r="N23" s="2">
        <v>60.897988818984196</v>
      </c>
      <c r="O23" s="2">
        <v>60.944325398749548</v>
      </c>
      <c r="P23" s="2">
        <v>60.991710266996961</v>
      </c>
      <c r="Q23" s="2">
        <v>61.039855097289461</v>
      </c>
      <c r="R23" s="2">
        <v>61.088481187461561</v>
      </c>
      <c r="S23" s="2">
        <v>61.137346173828647</v>
      </c>
      <c r="T23" s="2">
        <v>61.186275619936531</v>
      </c>
      <c r="U23" s="2">
        <v>61.235244225263031</v>
      </c>
      <c r="V23" s="2">
        <v>40.567588908919078</v>
      </c>
      <c r="W23" s="2">
        <v>40.600055965137123</v>
      </c>
      <c r="X23" s="2">
        <v>40.632549005392349</v>
      </c>
      <c r="Y23" s="2">
        <v>40.665068050480322</v>
      </c>
      <c r="Z23" s="2">
        <v>40.697613121213294</v>
      </c>
    </row>
    <row r="24" spans="1:26">
      <c r="I24" s="2">
        <v>48.851942286770772</v>
      </c>
      <c r="J24" s="2">
        <v>48.861387337282686</v>
      </c>
      <c r="K24" s="2">
        <v>48.874475472194376</v>
      </c>
      <c r="L24" s="2">
        <v>48.891289390783399</v>
      </c>
      <c r="M24" s="2">
        <v>48.911856483874409</v>
      </c>
      <c r="N24" s="2">
        <v>48.936129040917095</v>
      </c>
      <c r="O24" s="2">
        <v>48.963962066393371</v>
      </c>
      <c r="P24" s="2">
        <v>48.995091644860757</v>
      </c>
      <c r="Q24" s="2">
        <v>49.029119985671876</v>
      </c>
      <c r="R24" s="2">
        <v>49.065517029779215</v>
      </c>
      <c r="S24" s="2">
        <v>49.103647713565806</v>
      </c>
      <c r="T24" s="2">
        <v>49.142808386066527</v>
      </c>
      <c r="U24" s="2">
        <v>49.18213836266851</v>
      </c>
      <c r="V24" s="2">
        <v>31.470284396336307</v>
      </c>
      <c r="W24" s="2">
        <v>31.495470697030388</v>
      </c>
      <c r="X24" s="2">
        <v>31.52067715482676</v>
      </c>
      <c r="Y24" s="2">
        <v>31.545903785857583</v>
      </c>
      <c r="Z24" s="2">
        <v>31.571150606267963</v>
      </c>
    </row>
    <row r="25" spans="1:26">
      <c r="H25" s="2">
        <v>38.001750872298146</v>
      </c>
      <c r="I25" s="2">
        <v>37.961677405740893</v>
      </c>
      <c r="J25" s="2">
        <v>37.925616659510489</v>
      </c>
      <c r="K25" s="2">
        <v>37.894027031910767</v>
      </c>
      <c r="L25" s="2">
        <v>37.867397337495809</v>
      </c>
      <c r="M25" s="2">
        <v>37.846236593695771</v>
      </c>
      <c r="N25" s="2">
        <v>37.831054833502705</v>
      </c>
      <c r="O25" s="2">
        <v>37.822330049492855</v>
      </c>
      <c r="P25" s="2">
        <v>37.820454788278283</v>
      </c>
      <c r="Q25" s="2">
        <v>37.825655696579489</v>
      </c>
      <c r="R25" s="2">
        <v>37.837885144394455</v>
      </c>
      <c r="S25" s="2">
        <v>37.856709499106763</v>
      </c>
      <c r="T25" s="2">
        <v>37.881300404842648</v>
      </c>
      <c r="U25" s="2">
        <v>37.910866792805507</v>
      </c>
      <c r="V25" s="2">
        <v>22.969825967563512</v>
      </c>
      <c r="W25" s="2">
        <v>22.981461589529236</v>
      </c>
      <c r="X25" s="2">
        <v>22.999854114830043</v>
      </c>
      <c r="Y25" s="2">
        <v>23.01826136003826</v>
      </c>
      <c r="Z25" s="2">
        <v>23.036683336934558</v>
      </c>
    </row>
    <row r="26" spans="1:26">
      <c r="G26" s="2">
        <v>28.368380738946183</v>
      </c>
      <c r="H26" s="2">
        <v>28.263887133395876</v>
      </c>
      <c r="I26" s="2">
        <v>28.161093110637573</v>
      </c>
      <c r="J26" s="2">
        <v>28.060484685615023</v>
      </c>
      <c r="K26" s="2">
        <v>27.962646613134254</v>
      </c>
      <c r="L26" s="2">
        <v>27.868284085795484</v>
      </c>
      <c r="M26" s="2">
        <v>27.778248780128099</v>
      </c>
      <c r="N26" s="2">
        <v>27.693568987168096</v>
      </c>
      <c r="O26" s="2">
        <v>27.615481717027794</v>
      </c>
      <c r="P26" s="2">
        <v>27.545460090999843</v>
      </c>
      <c r="Q26" s="2">
        <v>27.485218481396842</v>
      </c>
      <c r="R26" s="2">
        <v>27.436652766593923</v>
      </c>
      <c r="S26" s="2">
        <v>27.401616370060552</v>
      </c>
      <c r="T26" s="2">
        <v>27.381308750075615</v>
      </c>
      <c r="U26" s="2">
        <v>27.374797583805922</v>
      </c>
      <c r="V26" s="2">
        <v>15.115865926196927</v>
      </c>
      <c r="W26" s="2">
        <v>15.056410636730666</v>
      </c>
      <c r="X26" s="2">
        <v>15.031741034482879</v>
      </c>
      <c r="Y26" s="2">
        <v>15.04377123875055</v>
      </c>
      <c r="Z26" s="2">
        <v>15.055811071032338</v>
      </c>
    </row>
    <row r="27" spans="1:26">
      <c r="F27" s="2">
        <v>20.184746823336834</v>
      </c>
      <c r="G27" s="2">
        <v>20.018194530016316</v>
      </c>
      <c r="H27" s="2">
        <v>19.849316484175802</v>
      </c>
      <c r="I27" s="2">
        <v>19.67817407130979</v>
      </c>
      <c r="J27" s="2">
        <v>19.504873329776458</v>
      </c>
      <c r="K27" s="2">
        <v>19.329582389353437</v>
      </c>
      <c r="L27" s="2">
        <v>19.152556446512342</v>
      </c>
      <c r="M27" s="2">
        <v>18.974174169026906</v>
      </c>
      <c r="N27" s="2">
        <v>18.794991849493883</v>
      </c>
      <c r="O27" s="2">
        <v>18.6158258412488</v>
      </c>
      <c r="P27" s="2">
        <v>18.43788127097503</v>
      </c>
      <c r="Q27" s="2">
        <v>18.262958336618578</v>
      </c>
      <c r="R27" s="2">
        <v>18.093790874745757</v>
      </c>
      <c r="S27" s="2">
        <v>17.934610113160929</v>
      </c>
      <c r="T27" s="2">
        <v>17.79207580535541</v>
      </c>
      <c r="U27" s="2">
        <v>17.676720366965675</v>
      </c>
      <c r="V27" s="2">
        <v>8.3019722290313585</v>
      </c>
      <c r="W27" s="2">
        <v>8.0344945670583705</v>
      </c>
      <c r="X27" s="2">
        <v>7.7801493646452631</v>
      </c>
      <c r="Y27" s="2">
        <v>7.5865527580629681</v>
      </c>
      <c r="Z27" s="2">
        <v>7.5926244286138171</v>
      </c>
    </row>
    <row r="28" spans="1:26">
      <c r="E28" s="2">
        <v>13.620198702883505</v>
      </c>
      <c r="F28" s="2">
        <v>13.414405914453051</v>
      </c>
      <c r="G28" s="2">
        <v>13.203120980945075</v>
      </c>
      <c r="H28" s="2">
        <v>12.985956381518948</v>
      </c>
      <c r="I28" s="2">
        <v>12.762476683812423</v>
      </c>
      <c r="J28" s="2">
        <v>12.532190063214969</v>
      </c>
      <c r="K28" s="2">
        <v>12.294537887081217</v>
      </c>
      <c r="L28" s="2">
        <v>12.048881849564502</v>
      </c>
      <c r="M28" s="2">
        <v>11.794488024200767</v>
      </c>
      <c r="N28" s="2">
        <v>11.530507130398131</v>
      </c>
      <c r="O28" s="2">
        <v>11.25595048538808</v>
      </c>
      <c r="P28" s="2">
        <v>10.969662193231057</v>
      </c>
      <c r="Q28" s="2">
        <v>10.670292240720684</v>
      </c>
      <c r="R28" s="2">
        <v>10.356289219748756</v>
      </c>
      <c r="S28" s="2">
        <v>10.025977721026971</v>
      </c>
      <c r="T28" s="2">
        <v>9.6779368543181974</v>
      </c>
      <c r="U28" s="2">
        <v>9.3123913940307155</v>
      </c>
      <c r="V28" s="2">
        <v>3.4043063187730223</v>
      </c>
      <c r="W28" s="2">
        <v>2.9586049610417691</v>
      </c>
      <c r="X28" s="2">
        <v>2.4169101910825139</v>
      </c>
      <c r="Y28" s="2">
        <v>1.6995961450487247</v>
      </c>
      <c r="Z28" s="2">
        <v>0.61354332020597724</v>
      </c>
    </row>
    <row r="29" spans="1:26">
      <c r="D29" s="2">
        <v>8.6905932437951403</v>
      </c>
      <c r="E29" s="2">
        <v>8.4790874683464423</v>
      </c>
      <c r="F29" s="2">
        <v>8.2615035302027326</v>
      </c>
      <c r="G29" s="2">
        <v>8.0373556827739776</v>
      </c>
      <c r="H29" s="2">
        <v>7.8060880366852503</v>
      </c>
      <c r="I29" s="2">
        <v>7.567059401836377</v>
      </c>
      <c r="J29" s="2">
        <v>7.3195236107915189</v>
      </c>
      <c r="K29" s="2">
        <v>7.0626035404709562</v>
      </c>
      <c r="L29" s="2">
        <v>6.7952561343289819</v>
      </c>
      <c r="M29" s="2">
        <v>6.5162242025869554</v>
      </c>
      <c r="N29" s="2">
        <v>6.2239681120127273</v>
      </c>
      <c r="O29" s="2">
        <v>5.9165655356017952</v>
      </c>
      <c r="P29" s="2">
        <v>5.5915576274621701</v>
      </c>
      <c r="Q29" s="2">
        <v>5.2456989912317482</v>
      </c>
      <c r="R29" s="2">
        <v>4.8745201545378114</v>
      </c>
      <c r="S29" s="2">
        <v>4.4714897177025899</v>
      </c>
      <c r="T29" s="2">
        <v>4.0262390598033955</v>
      </c>
      <c r="U29" s="2">
        <v>3.5203994035744914</v>
      </c>
      <c r="V29" s="2">
        <v>0.94044446622362299</v>
      </c>
      <c r="W29" s="2">
        <v>0.65029336080022038</v>
      </c>
      <c r="X29" s="2">
        <v>0.35991504475688596</v>
      </c>
      <c r="Y29" s="2">
        <v>0.10543154754071134</v>
      </c>
      <c r="Z29" s="2">
        <v>0</v>
      </c>
    </row>
    <row r="30" spans="1:26">
      <c r="C30" s="2">
        <v>5.2386267170884864</v>
      </c>
      <c r="D30" s="2">
        <v>5.0511754998448781</v>
      </c>
      <c r="E30" s="2">
        <v>4.8593455257046845</v>
      </c>
      <c r="F30" s="2">
        <v>4.6628650112545111</v>
      </c>
      <c r="G30" s="2">
        <v>4.4614331520142274</v>
      </c>
      <c r="H30" s="2">
        <v>4.2547159006329096</v>
      </c>
      <c r="I30" s="2">
        <v>4.0423410615244917</v>
      </c>
      <c r="J30" s="2">
        <v>3.8238926490172478</v>
      </c>
      <c r="K30" s="2">
        <v>3.5989045360003731</v>
      </c>
      <c r="L30" s="2">
        <v>3.3668536198208852</v>
      </c>
      <c r="M30" s="2">
        <v>3.1271532046617323</v>
      </c>
      <c r="N30" s="2">
        <v>2.8791484068916868</v>
      </c>
      <c r="O30" s="2">
        <v>2.6221180231670211</v>
      </c>
      <c r="P30" s="2">
        <v>2.3552937431577625</v>
      </c>
      <c r="Q30" s="2">
        <v>2.0779239193522434</v>
      </c>
      <c r="R30" s="2">
        <v>1.7894521167334809</v>
      </c>
      <c r="S30" s="2">
        <v>1.4899982613106708</v>
      </c>
      <c r="T30" s="2">
        <v>1.1816629612970915</v>
      </c>
      <c r="U30" s="2">
        <v>0.87214589076842997</v>
      </c>
      <c r="V30" s="2">
        <v>0.15962871883506624</v>
      </c>
      <c r="W30" s="2">
        <v>7.3508310750826547E-2</v>
      </c>
      <c r="X30" s="2">
        <v>1.8117402391566496E-2</v>
      </c>
      <c r="Y30" s="2">
        <v>0</v>
      </c>
      <c r="Z30" s="2">
        <v>0</v>
      </c>
    </row>
    <row r="31" spans="1:26">
      <c r="B31" s="2">
        <v>2.9851720435420561</v>
      </c>
      <c r="C31" s="2">
        <v>2.8384681602098309</v>
      </c>
      <c r="D31" s="2">
        <v>2.6898991491797228</v>
      </c>
      <c r="E31" s="2">
        <v>2.5394625414077576</v>
      </c>
      <c r="F31" s="2">
        <v>2.3871691852891961</v>
      </c>
      <c r="G31" s="2">
        <v>2.233047842037386</v>
      </c>
      <c r="H31" s="2">
        <v>2.0771513662332159</v>
      </c>
      <c r="I31" s="2">
        <v>1.9195650864991203</v>
      </c>
      <c r="J31" s="2">
        <v>1.7604182713441359</v>
      </c>
      <c r="K31" s="2">
        <v>1.5998999650381662</v>
      </c>
      <c r="L31" s="2">
        <v>1.4382810689823209</v>
      </c>
      <c r="M31" s="2">
        <v>1.2759454021139569</v>
      </c>
      <c r="N31" s="2">
        <v>1.1134336601088264</v>
      </c>
      <c r="O31" s="2">
        <v>0.95150561655132526</v>
      </c>
      <c r="P31" s="2">
        <v>0.79122684558928802</v>
      </c>
      <c r="Q31" s="2">
        <v>0.63408374158895409</v>
      </c>
      <c r="R31" s="2">
        <v>0.48211434106743495</v>
      </c>
      <c r="S31" s="2">
        <v>0.33797830165083287</v>
      </c>
      <c r="T31" s="2">
        <v>0.20466714980781361</v>
      </c>
      <c r="U31" s="2">
        <v>8.3822148481122127E-2</v>
      </c>
      <c r="V31" s="2">
        <v>1.4635420076732415E-2</v>
      </c>
      <c r="W31" s="2">
        <v>3.1133022048376053E-3</v>
      </c>
      <c r="X31" s="2">
        <v>0</v>
      </c>
      <c r="Y31" s="2">
        <v>0</v>
      </c>
      <c r="Z31" s="2">
        <v>0</v>
      </c>
    </row>
    <row r="32" spans="1:26">
      <c r="A32" s="2">
        <v>1.6109021028125272</v>
      </c>
      <c r="B32" s="2">
        <v>1.5077141703663508</v>
      </c>
      <c r="C32" s="2">
        <v>1.4046943803710583</v>
      </c>
      <c r="D32" s="2">
        <v>1.3019887062917452</v>
      </c>
      <c r="E32" s="2">
        <v>1.1997690161237373</v>
      </c>
      <c r="F32" s="2">
        <v>1.0982380322985696</v>
      </c>
      <c r="G32" s="2">
        <v>0.99763535002042969</v>
      </c>
      <c r="H32" s="2">
        <v>0.89824474600679949</v>
      </c>
      <c r="I32" s="2">
        <v>0.80040304705887644</v>
      </c>
      <c r="J32" s="2">
        <v>0.70451085467789321</v>
      </c>
      <c r="K32" s="2">
        <v>0.61104541673508306</v>
      </c>
      <c r="L32" s="2">
        <v>0.52057585757004288</v>
      </c>
      <c r="M32" s="2">
        <v>0.43378074478871631</v>
      </c>
      <c r="N32" s="2">
        <v>0.35146745048536732</v>
      </c>
      <c r="O32" s="2">
        <v>0.27459177209658053</v>
      </c>
      <c r="P32" s="2">
        <v>0.20427472043278266</v>
      </c>
      <c r="Q32" s="2">
        <v>0.14181197660791561</v>
      </c>
      <c r="R32" s="2">
        <v>8.8674657408909813E-2</v>
      </c>
      <c r="S32" s="2">
        <v>4.6526199936636321E-2</v>
      </c>
      <c r="T32" s="2">
        <v>1.7398288307227908E-2</v>
      </c>
      <c r="U32" s="2">
        <v>4.6218662321061092E-3</v>
      </c>
      <c r="V32" s="2">
        <v>5.3499118743191099E-4</v>
      </c>
      <c r="W32" s="2">
        <v>0</v>
      </c>
      <c r="X32" s="2">
        <v>0</v>
      </c>
      <c r="Y32" s="2">
        <v>0</v>
      </c>
      <c r="Z32" s="2">
        <v>0</v>
      </c>
    </row>
    <row r="33" spans="2:26">
      <c r="B33" s="2">
        <v>0.69418985709508474</v>
      </c>
      <c r="C33" s="2">
        <v>0.63065722939288515</v>
      </c>
      <c r="D33" s="2">
        <v>0.56868360039922772</v>
      </c>
      <c r="E33" s="2">
        <v>0.50846369975932881</v>
      </c>
      <c r="F33" s="2">
        <v>0.45021265408068223</v>
      </c>
      <c r="G33" s="2">
        <v>0.3941676022702697</v>
      </c>
      <c r="H33" s="2">
        <v>0.34058906887198148</v>
      </c>
      <c r="I33" s="2">
        <v>0.28976183907988101</v>
      </c>
      <c r="J33" s="2">
        <v>0.24199493650721096</v>
      </c>
      <c r="K33" s="2">
        <v>0.19762009494335206</v>
      </c>
      <c r="L33" s="2">
        <v>0.15698781359757144</v>
      </c>
      <c r="M33" s="2">
        <v>0.12045966598160732</v>
      </c>
      <c r="N33" s="2">
        <v>8.839497794306693E-2</v>
      </c>
      <c r="O33" s="2">
        <v>6.112930270880565E-2</v>
      </c>
      <c r="P33" s="2">
        <v>3.8941299583118948E-2</v>
      </c>
      <c r="Q33" s="2">
        <v>2.2003411658749781E-2</v>
      </c>
      <c r="R33" s="2">
        <v>1.0308312564419834E-2</v>
      </c>
      <c r="S33" s="2">
        <v>3.5484952045103861E-3</v>
      </c>
      <c r="T33" s="2">
        <v>8.6294930641795233E-4</v>
      </c>
      <c r="U33" s="2">
        <v>1.0678349867475795E-4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</row>
    <row r="34" spans="2:26">
      <c r="C34" s="2">
        <v>0.25530972585355993</v>
      </c>
      <c r="D34" s="2">
        <v>0.22267245441985739</v>
      </c>
      <c r="E34" s="2">
        <v>0.1919223598689728</v>
      </c>
      <c r="F34" s="2">
        <v>0.16317610682970776</v>
      </c>
      <c r="G34" s="2">
        <v>0.13654978102183804</v>
      </c>
      <c r="H34" s="2">
        <v>0.11215603510438389</v>
      </c>
      <c r="I34" s="2">
        <v>9.0100204265629646E-2</v>
      </c>
      <c r="J34" s="2">
        <v>7.0475116842679472E-2</v>
      </c>
      <c r="K34" s="2">
        <v>5.3354289106443825E-2</v>
      </c>
      <c r="L34" s="2">
        <v>3.8783182640006277E-2</v>
      </c>
      <c r="M34" s="2">
        <v>2.6768247441590041E-2</v>
      </c>
      <c r="N34" s="2">
        <v>1.7263621195824551E-2</v>
      </c>
      <c r="O34" s="2">
        <v>1.0155673440533173E-2</v>
      </c>
      <c r="P34" s="2">
        <v>5.246174069770352E-3</v>
      </c>
      <c r="Q34" s="2">
        <v>2.2359537018946146E-3</v>
      </c>
      <c r="R34" s="2">
        <v>7.1339433950788503E-4</v>
      </c>
      <c r="S34" s="2">
        <v>1.6009945522612603E-4</v>
      </c>
      <c r="T34" s="2">
        <v>1.8349722254837962E-5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</row>
    <row r="35" spans="2:26">
      <c r="D35" s="2">
        <v>7.7682577977124481E-2</v>
      </c>
      <c r="E35" s="2">
        <v>6.4087108649610189E-2</v>
      </c>
      <c r="F35" s="2">
        <v>5.1902043816171237E-2</v>
      </c>
      <c r="G35" s="2">
        <v>4.1133923748497704E-2</v>
      </c>
      <c r="H35" s="2">
        <v>3.1776293574189915E-2</v>
      </c>
      <c r="I35" s="2">
        <v>2.3806957800477473E-2</v>
      </c>
      <c r="J35" s="2">
        <v>1.718503785911207E-2</v>
      </c>
      <c r="K35" s="2">
        <v>1.1847995770155188E-2</v>
      </c>
      <c r="L35" s="2">
        <v>7.7089099520909468E-3</v>
      </c>
      <c r="M35" s="2">
        <v>4.6544665114340092E-3</v>
      </c>
      <c r="N35" s="2">
        <v>2.5443753328822597E-3</v>
      </c>
      <c r="O35" s="2">
        <v>1.2132502408878758E-3</v>
      </c>
      <c r="P35" s="2">
        <v>4.7642360056080786E-4</v>
      </c>
      <c r="Q35" s="2">
        <v>1.4170212213776014E-4</v>
      </c>
      <c r="R35" s="2">
        <v>2.9540973269576953E-5</v>
      </c>
      <c r="S35" s="2">
        <v>3.1532241498780733E-6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</row>
    <row r="36" spans="2:26">
      <c r="E36" s="2">
        <v>1.8807734389511971E-2</v>
      </c>
      <c r="F36" s="2">
        <v>1.4381331132685148E-2</v>
      </c>
      <c r="G36" s="2">
        <v>1.0685064551460776E-2</v>
      </c>
      <c r="H36" s="2">
        <v>7.6717881116674744E-3</v>
      </c>
      <c r="I36" s="2">
        <v>5.2856099237940874E-3</v>
      </c>
      <c r="J36" s="2">
        <v>3.4621105941154361E-3</v>
      </c>
      <c r="K36" s="2">
        <v>2.129118828402699E-3</v>
      </c>
      <c r="L36" s="2">
        <v>1.2082312795408845E-3</v>
      </c>
      <c r="M36" s="2">
        <v>6.1726930085686464E-4</v>
      </c>
      <c r="N36" s="2">
        <v>2.7383084049850562E-4</v>
      </c>
      <c r="O36" s="2">
        <v>9.9981097112764367E-5</v>
      </c>
      <c r="P36" s="2">
        <v>2.7858836569990497E-5</v>
      </c>
      <c r="Q36" s="2">
        <v>5.4250689278485064E-6</v>
      </c>
      <c r="R36" s="2">
        <v>5.4185139160632452E-7</v>
      </c>
      <c r="S36" s="2">
        <v>0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</row>
    <row r="37" spans="2:26">
      <c r="F37" s="2">
        <v>3.444948392856825E-3</v>
      </c>
      <c r="G37" s="2">
        <v>2.3724158232812783E-3</v>
      </c>
      <c r="H37" s="2">
        <v>1.56210126619425E-3</v>
      </c>
      <c r="I37" s="2">
        <v>9.7395008495020975E-4</v>
      </c>
      <c r="J37" s="2">
        <v>5.6765433241508277E-4</v>
      </c>
      <c r="K37" s="2">
        <v>3.0390507721251572E-4</v>
      </c>
      <c r="L37" s="2">
        <v>1.4583752737932023E-4</v>
      </c>
      <c r="M37" s="2">
        <v>6.0575758619668585E-5</v>
      </c>
      <c r="N37" s="2">
        <v>2.0707976527300256E-5</v>
      </c>
      <c r="O37" s="2">
        <v>5.4287769382571698E-6</v>
      </c>
      <c r="P37" s="2">
        <v>9.9217301426805898E-7</v>
      </c>
      <c r="Q37" s="2">
        <v>9.3111975752522939E-8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</row>
    <row r="38" spans="2:26">
      <c r="G38" s="2">
        <v>4.4588645237590019E-4</v>
      </c>
      <c r="H38" s="2">
        <v>2.6515285854348636E-4</v>
      </c>
      <c r="I38" s="2">
        <v>1.4685333050210069E-4</v>
      </c>
      <c r="J38" s="2">
        <v>7.4430433189459974E-5</v>
      </c>
      <c r="K38" s="2">
        <v>3.3698372505314146E-5</v>
      </c>
      <c r="L38" s="2">
        <v>1.3175351386013889E-5</v>
      </c>
      <c r="M38" s="2">
        <v>4.2401186872090113E-6</v>
      </c>
      <c r="N38" s="2">
        <v>1.0497471209181328E-6</v>
      </c>
      <c r="O38" s="2">
        <v>1.8079329074883683E-7</v>
      </c>
      <c r="P38" s="2">
        <v>1.6000401886643142E-8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</row>
    <row r="39" spans="2:26">
      <c r="H39" s="2">
        <v>3.7015620122429478E-5</v>
      </c>
      <c r="I39" s="2">
        <v>1.7817226429528243E-5</v>
      </c>
      <c r="J39" s="2">
        <v>7.6401809304709751E-6</v>
      </c>
      <c r="K39" s="2">
        <v>2.8242867578560974E-6</v>
      </c>
      <c r="L39" s="2">
        <v>8.5947263088939594E-7</v>
      </c>
      <c r="M39" s="2">
        <v>2.0160982092847096E-7</v>
      </c>
      <c r="N39" s="2">
        <v>3.2837184355526916E-8</v>
      </c>
      <c r="O39" s="2">
        <v>2.7495159292345797E-9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</row>
    <row r="40" spans="2:26">
      <c r="I40" s="2">
        <v>1.7039544738797066E-6</v>
      </c>
      <c r="J40" s="2">
        <v>5.9779325950765196E-7</v>
      </c>
      <c r="K40" s="2">
        <v>1.7265977165109268E-7</v>
      </c>
      <c r="L40" s="2">
        <v>3.8487023974151056E-8</v>
      </c>
      <c r="M40" s="2">
        <v>5.9468425596240211E-9</v>
      </c>
      <c r="N40" s="2">
        <v>4.7247799765736845E-10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</row>
    <row r="41" spans="2:26">
      <c r="J41" s="2">
        <v>3.4408617103895977E-8</v>
      </c>
      <c r="K41" s="2">
        <v>7.3075211095222546E-9</v>
      </c>
      <c r="L41" s="2">
        <v>1.0741623680099076E-9</v>
      </c>
      <c r="M41" s="2">
        <v>8.11908219540773E-11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</row>
    <row r="42" spans="2:26">
      <c r="K42" s="2">
        <v>1.9356393919612983E-10</v>
      </c>
      <c r="L42" s="2">
        <v>1.3951865700119273E-11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</row>
    <row r="43" spans="2:26"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</row>
    <row r="44" spans="2:26"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</row>
    <row r="45" spans="2:26"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</row>
    <row r="46" spans="2:26"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</row>
    <row r="47" spans="2:26"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</row>
    <row r="48" spans="2:26"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</row>
    <row r="49" spans="18:26"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</row>
    <row r="50" spans="18:26"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</row>
    <row r="51" spans="18:26"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</row>
    <row r="52" spans="18:26">
      <c r="U52" s="2">
        <v>0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</row>
    <row r="53" spans="18:26">
      <c r="V53" s="2">
        <v>0</v>
      </c>
      <c r="W53" s="2">
        <v>0</v>
      </c>
      <c r="X53" s="2">
        <v>0</v>
      </c>
      <c r="Y53" s="2">
        <v>0</v>
      </c>
      <c r="Z53" s="2">
        <v>0</v>
      </c>
    </row>
    <row r="54" spans="18:26">
      <c r="V54" s="2">
        <v>0</v>
      </c>
      <c r="W54" s="2">
        <v>0</v>
      </c>
      <c r="X54" s="2">
        <v>0</v>
      </c>
      <c r="Y54" s="2">
        <v>0</v>
      </c>
      <c r="Z54" s="2">
        <v>0</v>
      </c>
    </row>
    <row r="55" spans="18:26">
      <c r="V55" s="2">
        <v>0</v>
      </c>
      <c r="W55" s="2">
        <v>0</v>
      </c>
      <c r="X55" s="2">
        <v>0</v>
      </c>
      <c r="Y55" s="2">
        <v>0</v>
      </c>
      <c r="Z55" s="2">
        <v>0</v>
      </c>
    </row>
    <row r="56" spans="18:26">
      <c r="V56" s="2">
        <v>0</v>
      </c>
      <c r="W56" s="2">
        <v>0</v>
      </c>
      <c r="X56" s="2">
        <v>0</v>
      </c>
      <c r="Y56" s="2">
        <v>0</v>
      </c>
      <c r="Z56" s="2">
        <v>0</v>
      </c>
    </row>
    <row r="57" spans="18:26">
      <c r="V57" s="2">
        <v>0</v>
      </c>
      <c r="W57" s="2">
        <v>0</v>
      </c>
      <c r="X57" s="2">
        <v>0</v>
      </c>
      <c r="Y57" s="2">
        <v>0</v>
      </c>
      <c r="Z57" s="2">
        <v>0</v>
      </c>
    </row>
    <row r="58" spans="18:26">
      <c r="V58" s="2">
        <v>0</v>
      </c>
      <c r="W58" s="2">
        <v>0</v>
      </c>
      <c r="X58" s="2">
        <v>0</v>
      </c>
      <c r="Y58" s="2">
        <v>0</v>
      </c>
      <c r="Z58" s="2">
        <v>0</v>
      </c>
    </row>
    <row r="59" spans="18:26">
      <c r="V59" s="2">
        <v>0</v>
      </c>
      <c r="W59" s="2">
        <v>0</v>
      </c>
      <c r="X59" s="2">
        <v>0</v>
      </c>
      <c r="Y59" s="2">
        <v>0</v>
      </c>
      <c r="Z59" s="2">
        <v>0</v>
      </c>
    </row>
    <row r="60" spans="18:26">
      <c r="V60" s="2">
        <v>0</v>
      </c>
      <c r="W60" s="2">
        <v>0</v>
      </c>
      <c r="X60" s="2">
        <v>0</v>
      </c>
      <c r="Y60" s="2">
        <v>0</v>
      </c>
      <c r="Z60" s="2">
        <v>0</v>
      </c>
    </row>
    <row r="61" spans="18:26">
      <c r="V61" s="2">
        <v>0</v>
      </c>
      <c r="W61" s="2">
        <v>0</v>
      </c>
      <c r="X61" s="2">
        <v>0</v>
      </c>
      <c r="Y61" s="2">
        <v>0</v>
      </c>
      <c r="Z61" s="2">
        <v>0</v>
      </c>
    </row>
    <row r="62" spans="18:26">
      <c r="V62" s="2">
        <v>0</v>
      </c>
      <c r="W62" s="2">
        <v>0</v>
      </c>
      <c r="X62" s="2">
        <v>0</v>
      </c>
      <c r="Y62" s="2">
        <v>0</v>
      </c>
      <c r="Z62" s="2">
        <v>0</v>
      </c>
    </row>
    <row r="63" spans="18:26">
      <c r="V63" s="2">
        <v>0</v>
      </c>
      <c r="W63" s="2">
        <v>0</v>
      </c>
      <c r="X63" s="2">
        <v>0</v>
      </c>
      <c r="Y63" s="2">
        <v>0</v>
      </c>
      <c r="Z63" s="2">
        <v>0</v>
      </c>
    </row>
    <row r="64" spans="18:26">
      <c r="V64" s="2">
        <v>0</v>
      </c>
      <c r="W64" s="2">
        <v>0</v>
      </c>
      <c r="X64" s="2">
        <v>0</v>
      </c>
      <c r="Y64" s="2">
        <v>0</v>
      </c>
      <c r="Z64" s="2">
        <v>0</v>
      </c>
    </row>
    <row r="65" spans="22:26">
      <c r="V65" s="2">
        <v>0</v>
      </c>
      <c r="W65" s="2">
        <v>0</v>
      </c>
      <c r="X65" s="2">
        <v>0</v>
      </c>
      <c r="Y65" s="2">
        <v>0</v>
      </c>
      <c r="Z65" s="2">
        <v>0</v>
      </c>
    </row>
    <row r="66" spans="22:26">
      <c r="V66" s="2">
        <v>0</v>
      </c>
      <c r="W66" s="2">
        <v>0</v>
      </c>
      <c r="X66" s="2">
        <v>0</v>
      </c>
      <c r="Y66" s="2">
        <v>0</v>
      </c>
      <c r="Z66" s="2">
        <v>0</v>
      </c>
    </row>
    <row r="67" spans="22:26">
      <c r="V67" s="2">
        <v>0</v>
      </c>
      <c r="W67" s="2">
        <v>0</v>
      </c>
      <c r="X67" s="2">
        <v>0</v>
      </c>
      <c r="Y67" s="2">
        <v>0</v>
      </c>
      <c r="Z67" s="2">
        <v>0</v>
      </c>
    </row>
    <row r="68" spans="22:26">
      <c r="V68" s="2">
        <v>0</v>
      </c>
      <c r="W68" s="2">
        <v>0</v>
      </c>
      <c r="X68" s="2">
        <v>0</v>
      </c>
      <c r="Y68" s="2">
        <v>0</v>
      </c>
      <c r="Z68" s="2">
        <v>0</v>
      </c>
    </row>
    <row r="69" spans="22:26">
      <c r="V69" s="2">
        <v>0</v>
      </c>
      <c r="W69" s="2">
        <v>0</v>
      </c>
      <c r="X69" s="2">
        <v>0</v>
      </c>
      <c r="Y69" s="2">
        <v>0</v>
      </c>
      <c r="Z69" s="2">
        <v>0</v>
      </c>
    </row>
    <row r="70" spans="22:26">
      <c r="W70" s="2">
        <v>0</v>
      </c>
      <c r="X70" s="2">
        <v>0</v>
      </c>
      <c r="Y70" s="2">
        <v>0</v>
      </c>
      <c r="Z70" s="2">
        <v>0</v>
      </c>
    </row>
    <row r="71" spans="22:26">
      <c r="X71" s="2">
        <v>0</v>
      </c>
      <c r="Y71" s="2">
        <v>0</v>
      </c>
      <c r="Z71" s="2">
        <v>0</v>
      </c>
    </row>
    <row r="72" spans="22:26">
      <c r="Y72" s="2">
        <v>0</v>
      </c>
      <c r="Z72" s="2">
        <v>0</v>
      </c>
    </row>
    <row r="73" spans="22:26">
      <c r="Z73" s="2">
        <v>0</v>
      </c>
    </row>
  </sheetData>
  <conditionalFormatting sqref="A1:XFD1048576">
    <cfRule type="colorScale" priority="1">
      <colorScale>
        <cfvo type="min"/>
        <cfvo type="percentile" val="25"/>
        <cfvo type="percentile" val="75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9">
    <tabColor rgb="FFFF0000"/>
  </sheetPr>
  <dimension ref="A1:G512"/>
  <sheetViews>
    <sheetView showGridLines="0" zoomScale="85" zoomScaleNormal="85" workbookViewId="0">
      <selection activeCell="E352" sqref="E352"/>
    </sheetView>
  </sheetViews>
  <sheetFormatPr defaultColWidth="11.42578125" defaultRowHeight="15"/>
  <cols>
    <col min="1" max="1" width="22.28515625" bestFit="1" customWidth="1"/>
    <col min="4" max="4" width="22.42578125" customWidth="1"/>
    <col min="5" max="5" width="19.5703125" customWidth="1"/>
  </cols>
  <sheetData>
    <row r="1" spans="1:7">
      <c r="A1" s="139" t="s">
        <v>30</v>
      </c>
      <c r="B1" s="139"/>
      <c r="C1" s="139"/>
      <c r="D1" s="72"/>
      <c r="E1" s="72"/>
      <c r="F1" s="72"/>
      <c r="G1" s="72"/>
    </row>
    <row r="2" spans="1:7">
      <c r="A2" s="139"/>
      <c r="B2" s="139"/>
      <c r="C2" s="139"/>
      <c r="D2" s="72"/>
      <c r="E2" s="72"/>
      <c r="F2" s="72"/>
      <c r="G2" s="72"/>
    </row>
    <row r="3" spans="1:7" ht="31.5">
      <c r="A3" s="71"/>
      <c r="B3" s="71"/>
      <c r="C3" s="71"/>
      <c r="D3" s="72"/>
      <c r="E3" s="72"/>
      <c r="F3" s="72"/>
      <c r="G3" s="72"/>
    </row>
    <row r="4" spans="1:7" ht="31.5">
      <c r="A4" s="71"/>
      <c r="B4" s="71"/>
      <c r="C4" s="71"/>
      <c r="D4" s="72"/>
      <c r="E4" s="72"/>
      <c r="F4" s="72"/>
      <c r="G4" s="72"/>
    </row>
    <row r="5" spans="1:7" ht="31.5">
      <c r="A5" s="71"/>
      <c r="B5" s="71"/>
      <c r="C5" s="71"/>
      <c r="D5" s="72"/>
      <c r="E5" s="72"/>
      <c r="F5" s="72"/>
      <c r="G5" s="72"/>
    </row>
    <row r="6" spans="1:7" ht="31.5">
      <c r="A6" s="71"/>
      <c r="B6" s="71"/>
      <c r="C6" s="71"/>
      <c r="D6" s="72"/>
      <c r="E6" s="72"/>
      <c r="F6" s="72"/>
      <c r="G6" s="72"/>
    </row>
    <row r="7" spans="1:7" ht="31.5">
      <c r="A7" s="71"/>
      <c r="B7" s="71"/>
      <c r="C7" s="71"/>
      <c r="D7" s="72"/>
      <c r="E7" s="72"/>
      <c r="F7" s="72"/>
      <c r="G7" s="72"/>
    </row>
    <row r="8" spans="1:7" ht="31.5">
      <c r="A8" s="71"/>
      <c r="B8" s="71"/>
      <c r="C8" s="71"/>
      <c r="D8" s="72"/>
      <c r="E8" s="72"/>
      <c r="F8" s="72"/>
      <c r="G8" s="72"/>
    </row>
    <row r="9" spans="1:7" ht="15.75" thickBot="1"/>
    <row r="10" spans="1:7" ht="45.75" thickBot="1">
      <c r="A10" s="73" t="s">
        <v>31</v>
      </c>
      <c r="B10" s="70">
        <v>519.93359375</v>
      </c>
    </row>
    <row r="11" spans="1:7" ht="15.75" thickBot="1"/>
    <row r="12" spans="1:7" ht="48.6" customHeight="1" thickBot="1">
      <c r="A12" s="32" t="s">
        <v>22</v>
      </c>
      <c r="B12" s="33" t="s">
        <v>27</v>
      </c>
      <c r="C12" s="33" t="s">
        <v>32</v>
      </c>
      <c r="D12" s="87" t="s">
        <v>33</v>
      </c>
      <c r="E12" s="92" t="s">
        <v>34</v>
      </c>
    </row>
    <row r="13" spans="1:7">
      <c r="A13" s="34">
        <v>1</v>
      </c>
      <c r="B13" s="35">
        <v>8.0666874740968932</v>
      </c>
      <c r="C13" s="35">
        <v>8.9160373732031992</v>
      </c>
      <c r="D13" s="88">
        <f>(B13-C13)*A13</f>
        <v>-0.84934989910630598</v>
      </c>
      <c r="E13" s="93">
        <v>2.9621968409312331</v>
      </c>
    </row>
    <row r="14" spans="1:7">
      <c r="A14" s="36">
        <v>2</v>
      </c>
      <c r="B14" s="27">
        <v>8.5295230958295249</v>
      </c>
      <c r="C14" s="27">
        <v>8.9160373732031992</v>
      </c>
      <c r="D14" s="88">
        <f t="shared" ref="D14:D77" si="0">(B14-C14)*A14</f>
        <v>-0.77302855474734855</v>
      </c>
      <c r="E14" s="94">
        <v>1.4810984204656166</v>
      </c>
    </row>
    <row r="15" spans="1:7">
      <c r="A15" s="36">
        <v>3</v>
      </c>
      <c r="B15" s="27">
        <v>8.7017127546174073</v>
      </c>
      <c r="C15" s="27">
        <v>8.9160373732031992</v>
      </c>
      <c r="D15" s="88">
        <f t="shared" si="0"/>
        <v>-0.64297385575737565</v>
      </c>
      <c r="E15" s="94">
        <v>0.98739894697707764</v>
      </c>
    </row>
    <row r="16" spans="1:7">
      <c r="A16" s="36">
        <v>4</v>
      </c>
      <c r="B16" s="27">
        <v>8.7842872613289025</v>
      </c>
      <c r="C16" s="27">
        <v>8.9160373732031992</v>
      </c>
      <c r="D16" s="88">
        <f t="shared" si="0"/>
        <v>-0.527000447497187</v>
      </c>
      <c r="E16" s="94">
        <v>0.74054921023280829</v>
      </c>
    </row>
    <row r="17" spans="1:6">
      <c r="A17" s="36">
        <v>5</v>
      </c>
      <c r="B17" s="27">
        <v>8.8306502489857834</v>
      </c>
      <c r="C17" s="27">
        <v>8.9160373732031992</v>
      </c>
      <c r="D17" s="88">
        <f t="shared" si="0"/>
        <v>-0.42693562108707894</v>
      </c>
      <c r="E17" s="94">
        <v>0.59243936818624665</v>
      </c>
    </row>
    <row r="18" spans="1:6">
      <c r="A18" s="36">
        <v>6</v>
      </c>
      <c r="B18" s="27">
        <v>8.8595482286186868</v>
      </c>
      <c r="C18" s="27">
        <v>8.9160373732031992</v>
      </c>
      <c r="D18" s="88">
        <f t="shared" si="0"/>
        <v>-0.33893486750707424</v>
      </c>
      <c r="E18" s="94">
        <v>0.49369947348853882</v>
      </c>
    </row>
    <row r="19" spans="1:6">
      <c r="A19" s="36">
        <v>7</v>
      </c>
      <c r="B19" s="27">
        <v>8.8788910364755989</v>
      </c>
      <c r="C19" s="27">
        <v>8.9160373732031992</v>
      </c>
      <c r="D19" s="88">
        <f t="shared" si="0"/>
        <v>-0.2600243570932026</v>
      </c>
      <c r="E19" s="94">
        <v>0.42317097727589043</v>
      </c>
    </row>
    <row r="20" spans="1:6">
      <c r="A20" s="36">
        <v>8</v>
      </c>
      <c r="B20" s="27">
        <v>8.8925046860113177</v>
      </c>
      <c r="C20" s="27">
        <v>8.9160373732031992</v>
      </c>
      <c r="D20" s="88">
        <f t="shared" si="0"/>
        <v>-0.18826149753505206</v>
      </c>
      <c r="E20" s="94">
        <v>0.37027460511640414</v>
      </c>
      <c r="F20" s="94"/>
    </row>
    <row r="21" spans="1:6">
      <c r="A21" s="36">
        <v>9</v>
      </c>
      <c r="B21" s="27">
        <v>8.9024428833902221</v>
      </c>
      <c r="C21" s="27">
        <v>8.9160373732031992</v>
      </c>
      <c r="D21" s="88">
        <f t="shared" si="0"/>
        <v>-0.12235040831679456</v>
      </c>
      <c r="E21" s="94">
        <v>0.32913297751997195</v>
      </c>
    </row>
    <row r="22" spans="1:6">
      <c r="A22" s="36">
        <v>10</v>
      </c>
      <c r="B22" s="27">
        <v>8.9098996440918565</v>
      </c>
      <c r="C22" s="27">
        <v>8.9160373732031992</v>
      </c>
      <c r="D22" s="88">
        <f t="shared" si="0"/>
        <v>-6.1377291113426935E-2</v>
      </c>
      <c r="E22" s="94">
        <v>0.29621967976797475</v>
      </c>
    </row>
    <row r="23" spans="1:6">
      <c r="A23" s="36">
        <v>11</v>
      </c>
      <c r="B23" s="27">
        <v>8.915613471445953</v>
      </c>
      <c r="C23" s="27">
        <v>8.9160373732031992</v>
      </c>
      <c r="D23" s="88">
        <f t="shared" si="0"/>
        <v>-4.6629193297089699E-3</v>
      </c>
      <c r="E23" s="94">
        <v>0.26929061797088616</v>
      </c>
    </row>
    <row r="24" spans="1:6">
      <c r="A24" s="36">
        <v>12</v>
      </c>
      <c r="B24" s="27">
        <v>8.9200639490401787</v>
      </c>
      <c r="C24" s="27">
        <v>8.9160373732031992</v>
      </c>
      <c r="D24" s="88">
        <f t="shared" si="0"/>
        <v>4.8318910043754215E-2</v>
      </c>
      <c r="E24" s="94">
        <v>0.24684973313997893</v>
      </c>
    </row>
    <row r="25" spans="1:6">
      <c r="A25" s="36">
        <v>13</v>
      </c>
      <c r="B25" s="27">
        <v>8.9235749619966285</v>
      </c>
      <c r="C25" s="27">
        <v>8.9160373732031992</v>
      </c>
      <c r="D25" s="88">
        <f t="shared" si="0"/>
        <v>9.7988654314580259E-2</v>
      </c>
      <c r="E25" s="94">
        <v>0.22786129212921138</v>
      </c>
    </row>
    <row r="26" spans="1:6">
      <c r="A26" s="36">
        <v>14</v>
      </c>
      <c r="B26" s="27">
        <v>8.9263723863040525</v>
      </c>
      <c r="C26" s="27">
        <v>8.9160373732031992</v>
      </c>
      <c r="D26" s="88">
        <f t="shared" si="0"/>
        <v>0.14469018341194584</v>
      </c>
      <c r="E26" s="94">
        <v>0.21158548554855339</v>
      </c>
    </row>
    <row r="27" spans="1:6">
      <c r="A27" s="36">
        <v>15</v>
      </c>
      <c r="B27" s="27">
        <v>8.9286180297327498</v>
      </c>
      <c r="C27" s="27">
        <v>8.9160373732031992</v>
      </c>
      <c r="D27" s="88">
        <f t="shared" si="0"/>
        <v>0.18870984794325807</v>
      </c>
      <c r="E27" s="94">
        <v>0.1974797865119832</v>
      </c>
    </row>
    <row r="28" spans="1:6">
      <c r="A28" s="36">
        <v>16</v>
      </c>
      <c r="B28" s="27">
        <v>8.9304304716559368</v>
      </c>
      <c r="C28" s="27">
        <v>8.9160373732031992</v>
      </c>
      <c r="D28" s="88">
        <f t="shared" si="0"/>
        <v>0.23028957524380189</v>
      </c>
      <c r="E28" s="94">
        <v>0.18513729985498423</v>
      </c>
    </row>
    <row r="29" spans="1:6">
      <c r="A29" s="36">
        <v>17</v>
      </c>
      <c r="B29" s="27">
        <v>8.9318983274012265</v>
      </c>
      <c r="C29" s="27">
        <v>8.9160373732031992</v>
      </c>
      <c r="D29" s="88">
        <f t="shared" si="0"/>
        <v>0.26963622136646315</v>
      </c>
      <c r="E29" s="94">
        <v>0.17424687045174986</v>
      </c>
    </row>
    <row r="30" spans="1:6">
      <c r="A30" s="36">
        <v>18</v>
      </c>
      <c r="B30" s="27">
        <v>8.9330889541989418</v>
      </c>
      <c r="C30" s="27">
        <v>8.9160373732031992</v>
      </c>
      <c r="D30" s="88">
        <f t="shared" si="0"/>
        <v>0.30692845792336598</v>
      </c>
      <c r="E30" s="94">
        <v>0.16456648875998597</v>
      </c>
    </row>
    <row r="31" spans="1:6">
      <c r="A31" s="36">
        <v>19</v>
      </c>
      <c r="B31" s="27">
        <v>8.9340543189691601</v>
      </c>
      <c r="C31" s="27">
        <v>8.9160373732031992</v>
      </c>
      <c r="D31" s="88">
        <f t="shared" si="0"/>
        <v>0.34232196955325733</v>
      </c>
      <c r="E31" s="94">
        <v>0.15590509461472357</v>
      </c>
    </row>
    <row r="32" spans="1:6">
      <c r="A32" s="36">
        <v>20</v>
      </c>
      <c r="B32" s="27">
        <v>8.9348350459998045</v>
      </c>
      <c r="C32" s="27">
        <v>8.9160373732031992</v>
      </c>
      <c r="D32" s="88">
        <f t="shared" si="0"/>
        <v>0.37595345593210538</v>
      </c>
      <c r="E32" s="94">
        <v>0.14810983988398738</v>
      </c>
    </row>
    <row r="33" spans="1:5">
      <c r="A33" s="36">
        <v>21</v>
      </c>
      <c r="B33" s="27">
        <v>8.9354632667980063</v>
      </c>
      <c r="C33" s="27">
        <v>8.9160373732031992</v>
      </c>
      <c r="D33" s="88">
        <f t="shared" si="0"/>
        <v>0.40794376549094835</v>
      </c>
      <c r="E33" s="94">
        <v>0.14105699036570227</v>
      </c>
    </row>
    <row r="34" spans="1:5">
      <c r="A34" s="36">
        <v>22</v>
      </c>
      <c r="B34" s="27">
        <v>8.9359646634158416</v>
      </c>
      <c r="C34" s="27">
        <v>8.9160373732031992</v>
      </c>
      <c r="D34" s="88">
        <f t="shared" si="0"/>
        <v>0.43840038467813258</v>
      </c>
      <c r="E34" s="94">
        <v>0.13464530898544308</v>
      </c>
    </row>
    <row r="35" spans="1:5">
      <c r="A35" s="36">
        <v>23</v>
      </c>
      <c r="B35" s="27">
        <v>8.9363599575541048</v>
      </c>
      <c r="C35" s="27">
        <v>8.9160373732031992</v>
      </c>
      <c r="D35" s="88">
        <f t="shared" si="0"/>
        <v>0.46741944007082914</v>
      </c>
      <c r="E35" s="94">
        <v>0.12879116511651079</v>
      </c>
    </row>
    <row r="36" spans="1:5">
      <c r="A36" s="36">
        <v>24</v>
      </c>
      <c r="B36" s="27">
        <v>8.9366660118130437</v>
      </c>
      <c r="C36" s="27">
        <v>8.9160373732031992</v>
      </c>
      <c r="D36" s="88">
        <f t="shared" si="0"/>
        <v>0.49508732663626631</v>
      </c>
      <c r="E36" s="94">
        <v>0.12342486656998947</v>
      </c>
    </row>
    <row r="37" spans="1:5">
      <c r="A37" s="36">
        <v>25</v>
      </c>
      <c r="B37" s="27">
        <v>8.9368966549994244</v>
      </c>
      <c r="C37" s="27">
        <v>8.9160373732031992</v>
      </c>
      <c r="D37" s="88">
        <f t="shared" si="0"/>
        <v>0.5214820449056301</v>
      </c>
      <c r="E37" s="94">
        <v>0.11848787190718992</v>
      </c>
    </row>
    <row r="38" spans="1:5">
      <c r="A38" s="36">
        <v>26</v>
      </c>
      <c r="B38" s="27">
        <v>8.9370633081606385</v>
      </c>
      <c r="C38" s="27">
        <v>8.9160373732031992</v>
      </c>
      <c r="D38" s="88">
        <f t="shared" si="0"/>
        <v>0.54667430889342228</v>
      </c>
      <c r="E38" s="94">
        <v>0.11393064606460569</v>
      </c>
    </row>
    <row r="39" spans="1:5">
      <c r="A39" s="36">
        <v>27</v>
      </c>
      <c r="B39" s="27">
        <v>8.9371754647383064</v>
      </c>
      <c r="C39" s="27">
        <v>8.9160373732031992</v>
      </c>
      <c r="D39" s="88">
        <f t="shared" si="0"/>
        <v>0.57072847144789307</v>
      </c>
      <c r="E39" s="94">
        <v>0.10971099250665732</v>
      </c>
    </row>
    <row r="40" spans="1:5">
      <c r="A40" s="36">
        <v>28</v>
      </c>
      <c r="B40" s="27">
        <v>8.9372410625873098</v>
      </c>
      <c r="C40" s="27">
        <v>8.9160373732031992</v>
      </c>
      <c r="D40" s="88">
        <f t="shared" si="0"/>
        <v>0.59370330275509531</v>
      </c>
      <c r="E40" s="94">
        <v>0.10579274277427669</v>
      </c>
    </row>
    <row r="41" spans="1:5">
      <c r="A41" s="36">
        <v>29</v>
      </c>
      <c r="B41" s="27">
        <v>8.9372667749182035</v>
      </c>
      <c r="C41" s="27">
        <v>8.9160373732031992</v>
      </c>
      <c r="D41" s="88">
        <f t="shared" si="0"/>
        <v>0.61565264973512512</v>
      </c>
      <c r="E41" s="94">
        <v>0.10214471716137061</v>
      </c>
    </row>
    <row r="42" spans="1:5">
      <c r="A42" s="36">
        <v>30</v>
      </c>
      <c r="B42" s="27">
        <v>8.9372582398032687</v>
      </c>
      <c r="C42" s="27">
        <v>8.9160373732031992</v>
      </c>
      <c r="D42" s="88">
        <f t="shared" si="0"/>
        <v>0.63662599800208497</v>
      </c>
      <c r="E42" s="94">
        <v>9.8739893255991598E-2</v>
      </c>
    </row>
    <row r="43" spans="1:5">
      <c r="A43" s="36">
        <v>31</v>
      </c>
      <c r="B43" s="27">
        <v>8.9372202426723995</v>
      </c>
      <c r="C43" s="27">
        <v>8.9160373732031992</v>
      </c>
      <c r="D43" s="88">
        <f t="shared" si="0"/>
        <v>0.65666895354520705</v>
      </c>
      <c r="E43" s="94">
        <v>9.5554735409024122E-2</v>
      </c>
    </row>
    <row r="44" spans="1:5">
      <c r="A44" s="36">
        <v>32</v>
      </c>
      <c r="B44" s="27">
        <v>8.9371568625058089</v>
      </c>
      <c r="C44" s="27">
        <v>8.9160373732031992</v>
      </c>
      <c r="D44" s="88">
        <f t="shared" si="0"/>
        <v>0.67582365768350883</v>
      </c>
      <c r="E44" s="94">
        <v>9.2568649927492114E-2</v>
      </c>
    </row>
    <row r="45" spans="1:5">
      <c r="A45" s="36">
        <v>33</v>
      </c>
      <c r="B45" s="27">
        <v>8.9370715897632103</v>
      </c>
      <c r="C45" s="27">
        <v>8.9160373732031992</v>
      </c>
      <c r="D45" s="88">
        <f t="shared" si="0"/>
        <v>0.69412914648036406</v>
      </c>
      <c r="E45" s="94">
        <v>8.9763539323628724E-2</v>
      </c>
    </row>
    <row r="46" spans="1:5">
      <c r="A46" s="36">
        <v>34</v>
      </c>
      <c r="B46" s="27">
        <v>8.9369674221260578</v>
      </c>
      <c r="C46" s="27">
        <v>8.9160373732031992</v>
      </c>
      <c r="D46" s="88">
        <f t="shared" si="0"/>
        <v>0.71162166337719057</v>
      </c>
      <c r="E46" s="94">
        <v>8.7123435225874929E-2</v>
      </c>
    </row>
    <row r="47" spans="1:5">
      <c r="A47" s="36">
        <v>35</v>
      </c>
      <c r="B47" s="27">
        <v>8.9368469426963024</v>
      </c>
      <c r="C47" s="27">
        <v>8.9160373732031992</v>
      </c>
      <c r="D47" s="88">
        <f t="shared" si="0"/>
        <v>0.7283349322586119</v>
      </c>
      <c r="E47" s="94">
        <v>8.4634194219421366E-2</v>
      </c>
    </row>
    <row r="48" spans="1:5">
      <c r="A48" s="36">
        <v>36</v>
      </c>
      <c r="B48" s="27">
        <v>8.9367123842316598</v>
      </c>
      <c r="C48" s="27">
        <v>8.9160373732031992</v>
      </c>
      <c r="D48" s="88">
        <f t="shared" si="0"/>
        <v>0.74430039702458117</v>
      </c>
      <c r="E48" s="94">
        <v>8.2283244379992987E-2</v>
      </c>
    </row>
    <row r="49" spans="1:5">
      <c r="A49" s="36">
        <v>37</v>
      </c>
      <c r="B49" s="27">
        <v>8.9365656821941126</v>
      </c>
      <c r="C49" s="27">
        <v>8.9160373732031992</v>
      </c>
      <c r="D49" s="88">
        <f t="shared" si="0"/>
        <v>0.75954743266379587</v>
      </c>
      <c r="E49" s="94">
        <v>8.0059372910263465E-2</v>
      </c>
    </row>
    <row r="50" spans="1:5">
      <c r="A50" s="36">
        <v>38</v>
      </c>
      <c r="B50" s="27">
        <v>8.9364085187686335</v>
      </c>
      <c r="C50" s="27">
        <v>8.9160373732031992</v>
      </c>
      <c r="D50" s="88">
        <f t="shared" si="0"/>
        <v>0.77410353148650302</v>
      </c>
      <c r="E50" s="94">
        <v>7.7952547307361786E-2</v>
      </c>
    </row>
    <row r="51" spans="1:5">
      <c r="A51" s="36">
        <v>39</v>
      </c>
      <c r="B51" s="27">
        <v>8.9362423595774931</v>
      </c>
      <c r="C51" s="27">
        <v>8.9160373732031992</v>
      </c>
      <c r="D51" s="88">
        <f t="shared" si="0"/>
        <v>0.78799446859746247</v>
      </c>
      <c r="E51" s="94">
        <v>7.5953764043070443E-2</v>
      </c>
    </row>
    <row r="52" spans="1:5">
      <c r="A52" s="36">
        <v>40</v>
      </c>
      <c r="B52" s="27">
        <v>8.9360684844228242</v>
      </c>
      <c r="C52" s="27">
        <v>8.9160373732031992</v>
      </c>
      <c r="D52" s="88">
        <f t="shared" si="0"/>
        <v>0.80124444878499901</v>
      </c>
      <c r="E52" s="94">
        <v>7.4054919941993688E-2</v>
      </c>
    </row>
    <row r="53" spans="1:5">
      <c r="A53" s="36">
        <v>41</v>
      </c>
      <c r="B53" s="27">
        <v>8.9358880131497553</v>
      </c>
      <c r="C53" s="27">
        <v>8.9160373732031992</v>
      </c>
      <c r="D53" s="88">
        <f t="shared" si="0"/>
        <v>0.8138762378088007</v>
      </c>
      <c r="E53" s="94">
        <v>7.2248702382432875E-2</v>
      </c>
    </row>
    <row r="54" spans="1:5">
      <c r="A54" s="36">
        <v>42</v>
      </c>
      <c r="B54" s="27">
        <v>8.9357019274817464</v>
      </c>
      <c r="C54" s="27">
        <v>8.9160373732031992</v>
      </c>
      <c r="D54" s="88">
        <f t="shared" si="0"/>
        <v>0.82591127969898182</v>
      </c>
      <c r="E54" s="94">
        <v>7.0528495182851134E-2</v>
      </c>
    </row>
    <row r="55" spans="1:5">
      <c r="A55" s="36">
        <v>43</v>
      </c>
      <c r="B55" s="27">
        <v>8.9355110895337102</v>
      </c>
      <c r="C55" s="27">
        <v>8.9160373732031992</v>
      </c>
      <c r="D55" s="88">
        <f t="shared" si="0"/>
        <v>0.83736980221197221</v>
      </c>
      <c r="E55" s="94">
        <v>6.8888297620459255E-2</v>
      </c>
    </row>
    <row r="56" spans="1:5">
      <c r="A56" s="36">
        <v>44</v>
      </c>
      <c r="B56" s="27">
        <v>8.9353162575518681</v>
      </c>
      <c r="C56" s="27">
        <v>8.9160373732031992</v>
      </c>
      <c r="D56" s="88">
        <f t="shared" si="0"/>
        <v>0.84827091134143018</v>
      </c>
      <c r="E56" s="94">
        <v>6.732265449272154E-2</v>
      </c>
    </row>
    <row r="57" spans="1:5">
      <c r="A57" s="36">
        <v>45</v>
      </c>
      <c r="B57" s="27">
        <v>8.9351180993592862</v>
      </c>
      <c r="C57" s="27">
        <v>8.9160373732031992</v>
      </c>
      <c r="D57" s="88">
        <f t="shared" si="0"/>
        <v>0.8586326770239161</v>
      </c>
      <c r="E57" s="94">
        <v>6.5826595503994403E-2</v>
      </c>
    </row>
    <row r="58" spans="1:5">
      <c r="A58" s="36">
        <v>46</v>
      </c>
      <c r="B58" s="27">
        <v>8.93491720385774</v>
      </c>
      <c r="C58" s="27">
        <v>8.9160373732031992</v>
      </c>
      <c r="D58" s="88">
        <f t="shared" si="0"/>
        <v>0.86847221010887665</v>
      </c>
      <c r="E58" s="94">
        <v>6.4395582558255393E-2</v>
      </c>
    </row>
    <row r="59" spans="1:5">
      <c r="A59" s="36">
        <v>47</v>
      </c>
      <c r="B59" s="27">
        <v>8.9347140909149125</v>
      </c>
      <c r="C59" s="27">
        <v>8.9160373732031992</v>
      </c>
      <c r="D59" s="88">
        <f t="shared" si="0"/>
        <v>0.87780573245052551</v>
      </c>
      <c r="E59" s="94">
        <v>6.3025463780420163E-2</v>
      </c>
    </row>
    <row r="60" spans="1:5">
      <c r="A60" s="36">
        <v>48</v>
      </c>
      <c r="B60" s="27">
        <v>8.9345092198800984</v>
      </c>
      <c r="C60" s="27">
        <v>8.9160373732031992</v>
      </c>
      <c r="D60" s="88">
        <f t="shared" si="0"/>
        <v>0.88664864049115977</v>
      </c>
      <c r="E60" s="94">
        <v>6.1712433284994733E-2</v>
      </c>
    </row>
    <row r="61" spans="1:5">
      <c r="A61" s="36">
        <v>49</v>
      </c>
      <c r="B61" s="27">
        <v>8.9343029969359335</v>
      </c>
      <c r="C61" s="27">
        <v>8.9160373732031992</v>
      </c>
      <c r="D61" s="88">
        <f t="shared" si="0"/>
        <v>0.89501556290398199</v>
      </c>
      <c r="E61" s="94">
        <v>6.0452995871015255E-2</v>
      </c>
    </row>
    <row r="62" spans="1:5">
      <c r="A62" s="36">
        <v>50</v>
      </c>
      <c r="B62" s="27">
        <v>8.9340957814702904</v>
      </c>
      <c r="C62" s="27">
        <v>8.9160373732031992</v>
      </c>
      <c r="D62" s="88">
        <f t="shared" si="0"/>
        <v>0.90292041335455764</v>
      </c>
      <c r="E62" s="94">
        <v>5.9243935953594958E-2</v>
      </c>
    </row>
    <row r="63" spans="1:5">
      <c r="A63" s="36">
        <v>51</v>
      </c>
      <c r="B63" s="27">
        <v>8.9338878916078119</v>
      </c>
      <c r="C63" s="27">
        <v>8.9160373732031992</v>
      </c>
      <c r="D63" s="88">
        <f t="shared" si="0"/>
        <v>0.91037643863524842</v>
      </c>
      <c r="E63" s="94">
        <v>5.8082290150583284E-2</v>
      </c>
    </row>
    <row r="64" spans="1:5">
      <c r="A64" s="36">
        <v>52</v>
      </c>
      <c r="B64" s="27">
        <v>8.9336796090196842</v>
      </c>
      <c r="C64" s="27">
        <v>8.9160373732031992</v>
      </c>
      <c r="D64" s="88">
        <f t="shared" si="0"/>
        <v>0.91739626245721695</v>
      </c>
      <c r="E64" s="94">
        <v>5.6965323032302846E-2</v>
      </c>
    </row>
    <row r="65" spans="1:5">
      <c r="A65" s="36">
        <v>53</v>
      </c>
      <c r="B65" s="27">
        <v>8.9334711831315516</v>
      </c>
      <c r="C65" s="27">
        <v>8.9160373732031992</v>
      </c>
      <c r="D65" s="88">
        <f t="shared" si="0"/>
        <v>0.92399192620267812</v>
      </c>
      <c r="E65" s="94">
        <v>5.5890505616599015E-2</v>
      </c>
    </row>
    <row r="66" spans="1:5">
      <c r="A66" s="36">
        <v>54</v>
      </c>
      <c r="B66" s="27">
        <v>8.933262834789474</v>
      </c>
      <c r="C66" s="27">
        <v>8.9160373732031992</v>
      </c>
      <c r="D66" s="88">
        <f t="shared" si="0"/>
        <v>0.93017492565883941</v>
      </c>
      <c r="E66" s="94">
        <v>5.485549625332866E-2</v>
      </c>
    </row>
    <row r="67" spans="1:5">
      <c r="A67" s="36">
        <v>55</v>
      </c>
      <c r="B67" s="27">
        <v>8.9330547594758087</v>
      </c>
      <c r="C67" s="27">
        <v>8.9160373732031992</v>
      </c>
      <c r="D67" s="88">
        <f t="shared" si="0"/>
        <v>0.93595624499352326</v>
      </c>
      <c r="E67" s="94">
        <v>5.3858123594177229E-2</v>
      </c>
    </row>
    <row r="68" spans="1:5">
      <c r="A68" s="36">
        <v>56</v>
      </c>
      <c r="B68" s="27">
        <v>8.9328471301428074</v>
      </c>
      <c r="C68" s="27">
        <v>8.9160373732031992</v>
      </c>
      <c r="D68" s="88">
        <f t="shared" si="0"/>
        <v>0.94134638861805797</v>
      </c>
      <c r="E68" s="94">
        <v>5.2896371387138347E-2</v>
      </c>
    </row>
    <row r="69" spans="1:5">
      <c r="A69" s="36">
        <v>57</v>
      </c>
      <c r="B69" s="27">
        <v>8.9326400996836846</v>
      </c>
      <c r="C69" s="27">
        <v>8.9160373732031992</v>
      </c>
      <c r="D69" s="88">
        <f t="shared" si="0"/>
        <v>0.94635540938766383</v>
      </c>
      <c r="E69" s="94">
        <v>5.1968364871574517E-2</v>
      </c>
    </row>
    <row r="70" spans="1:5">
      <c r="A70" s="36">
        <v>58</v>
      </c>
      <c r="B70" s="27">
        <v>8.9324338031336037</v>
      </c>
      <c r="C70" s="27">
        <v>8.9160373732031992</v>
      </c>
      <c r="D70" s="88">
        <f t="shared" si="0"/>
        <v>0.95099293596345902</v>
      </c>
      <c r="E70" s="94">
        <v>5.1072358580685304E-2</v>
      </c>
    </row>
    <row r="71" spans="1:5">
      <c r="A71" s="36">
        <v>59</v>
      </c>
      <c r="B71" s="27">
        <v>8.9322283595990726</v>
      </c>
      <c r="C71" s="27">
        <v>8.9160373732031992</v>
      </c>
      <c r="D71" s="88">
        <f t="shared" si="0"/>
        <v>0.95526819735652779</v>
      </c>
      <c r="E71" s="94">
        <v>5.0206725384402504E-2</v>
      </c>
    </row>
    <row r="72" spans="1:5">
      <c r="A72" s="36">
        <v>60</v>
      </c>
      <c r="B72" s="27">
        <v>8.9320238739636579</v>
      </c>
      <c r="C72" s="27">
        <v>8.9160373732031992</v>
      </c>
      <c r="D72" s="88">
        <f t="shared" si="0"/>
        <v>0.95919004562752264</v>
      </c>
      <c r="E72" s="94">
        <v>4.9369946627995799E-2</v>
      </c>
    </row>
    <row r="73" spans="1:5">
      <c r="A73" s="36">
        <v>61</v>
      </c>
      <c r="B73" s="27">
        <v>8.9318204384021307</v>
      </c>
      <c r="C73" s="27">
        <v>8.9160373732031992</v>
      </c>
      <c r="D73" s="88">
        <f t="shared" si="0"/>
        <v>0.96276697713481951</v>
      </c>
      <c r="E73" s="94">
        <v>4.8560603240651611E-2</v>
      </c>
    </row>
    <row r="74" spans="1:5">
      <c r="A74" s="36">
        <v>62</v>
      </c>
      <c r="B74" s="27">
        <v>8.9316181337307263</v>
      </c>
      <c r="C74" s="27">
        <v>8.9160373732031992</v>
      </c>
      <c r="D74" s="88">
        <f t="shared" si="0"/>
        <v>0.96600715270668047</v>
      </c>
      <c r="E74" s="94">
        <v>4.7777367704512061E-2</v>
      </c>
    </row>
    <row r="75" spans="1:5">
      <c r="A75" s="36">
        <v>63</v>
      </c>
      <c r="B75" s="27">
        <v>8.9314170305892606</v>
      </c>
      <c r="C75" s="27">
        <v>8.9160373732031992</v>
      </c>
      <c r="D75" s="88">
        <f t="shared" si="0"/>
        <v>0.96891841532186795</v>
      </c>
      <c r="E75" s="94">
        <v>4.701899678856742E-2</v>
      </c>
    </row>
    <row r="76" spans="1:5">
      <c r="A76" s="36">
        <v>64</v>
      </c>
      <c r="B76" s="27">
        <v>8.931217190510516</v>
      </c>
      <c r="C76" s="27">
        <v>8.9160373732031992</v>
      </c>
      <c r="D76" s="88">
        <f t="shared" si="0"/>
        <v>0.97150830766827312</v>
      </c>
      <c r="E76" s="94">
        <v>4.6284324963746057E-2</v>
      </c>
    </row>
    <row r="77" spans="1:5">
      <c r="A77" s="36">
        <v>65</v>
      </c>
      <c r="B77" s="27">
        <v>8.9310186668616378</v>
      </c>
      <c r="C77" s="27">
        <v>8.9160373732031992</v>
      </c>
      <c r="D77" s="88">
        <f t="shared" si="0"/>
        <v>0.97378408779850822</v>
      </c>
      <c r="E77" s="94">
        <v>4.5572258425842276E-2</v>
      </c>
    </row>
    <row r="78" spans="1:5">
      <c r="A78" s="36">
        <v>66</v>
      </c>
      <c r="B78" s="27">
        <v>8.930821505687657</v>
      </c>
      <c r="C78" s="27">
        <v>8.9160373732031992</v>
      </c>
      <c r="D78" s="88">
        <f t="shared" ref="D78:D112" si="1">(B78-C78)*A78</f>
        <v>0.97575274397421197</v>
      </c>
      <c r="E78" s="94">
        <v>4.4881769661814362E-2</v>
      </c>
    </row>
    <row r="79" spans="1:5">
      <c r="A79" s="36">
        <v>67</v>
      </c>
      <c r="B79" s="27">
        <v>8.9306257464684222</v>
      </c>
      <c r="C79" s="27">
        <v>8.9160373732031992</v>
      </c>
      <c r="D79" s="88">
        <f t="shared" si="1"/>
        <v>0.97742100876994087</v>
      </c>
      <c r="E79" s="94">
        <v>4.4211892502682801E-2</v>
      </c>
    </row>
    <row r="80" spans="1:5">
      <c r="A80" s="36">
        <v>68</v>
      </c>
      <c r="B80" s="27">
        <v>8.9304314227855883</v>
      </c>
      <c r="C80" s="27">
        <v>8.9160373732031992</v>
      </c>
      <c r="D80" s="88">
        <f t="shared" si="1"/>
        <v>0.97879537160245889</v>
      </c>
      <c r="E80" s="94">
        <v>4.3561717612937464E-2</v>
      </c>
    </row>
    <row r="81" spans="1:5">
      <c r="A81" s="36">
        <v>69</v>
      </c>
      <c r="B81" s="27">
        <v>8.930238562929647</v>
      </c>
      <c r="C81" s="27">
        <v>8.9160373732031992</v>
      </c>
      <c r="D81" s="88">
        <f t="shared" si="1"/>
        <v>0.97988209112489777</v>
      </c>
      <c r="E81" s="94">
        <v>4.293038837217026E-2</v>
      </c>
    </row>
    <row r="82" spans="1:5">
      <c r="A82" s="36">
        <v>70</v>
      </c>
      <c r="B82" s="27">
        <v>8.9300471904427337</v>
      </c>
      <c r="C82" s="27">
        <v>8.9160373732031992</v>
      </c>
      <c r="D82" s="88">
        <f t="shared" si="1"/>
        <v>0.98068720676740995</v>
      </c>
      <c r="E82" s="94">
        <v>4.2317097109710683E-2</v>
      </c>
    </row>
    <row r="83" spans="1:5">
      <c r="A83" s="36">
        <v>71</v>
      </c>
      <c r="B83" s="27">
        <v>8.9298573245934669</v>
      </c>
      <c r="C83" s="27">
        <v>8.9160373732031992</v>
      </c>
      <c r="D83" s="88">
        <f t="shared" si="1"/>
        <v>0.98121654870900699</v>
      </c>
      <c r="E83" s="94">
        <v>4.1721081657461238E-2</v>
      </c>
    </row>
    <row r="84" spans="1:5">
      <c r="A84" s="36">
        <v>72</v>
      </c>
      <c r="B84" s="27">
        <v>8.9296689808224023</v>
      </c>
      <c r="C84" s="27">
        <v>8.9160373732031992</v>
      </c>
      <c r="D84" s="88">
        <f t="shared" si="1"/>
        <v>0.98147574858262487</v>
      </c>
      <c r="E84" s="94">
        <v>4.1141622189996493E-2</v>
      </c>
    </row>
    <row r="85" spans="1:5">
      <c r="A85" s="36">
        <v>73</v>
      </c>
      <c r="B85" s="27">
        <v>8.929482171126109</v>
      </c>
      <c r="C85" s="27">
        <v>8.9160373732031992</v>
      </c>
      <c r="D85" s="88">
        <f t="shared" si="1"/>
        <v>0.98147024837241226</v>
      </c>
      <c r="E85" s="94">
        <v>4.0578038324380103E-2</v>
      </c>
    </row>
    <row r="86" spans="1:5">
      <c r="A86" s="36">
        <v>74</v>
      </c>
      <c r="B86" s="27">
        <v>8.9292969044162334</v>
      </c>
      <c r="C86" s="27">
        <v>8.9160373732031992</v>
      </c>
      <c r="D86" s="88">
        <f t="shared" si="1"/>
        <v>0.98120530976452613</v>
      </c>
      <c r="E86" s="94">
        <v>4.0029686455131733E-2</v>
      </c>
    </row>
    <row r="87" spans="1:5">
      <c r="A87" s="36">
        <v>75</v>
      </c>
      <c r="B87" s="27">
        <v>8.9291131868260099</v>
      </c>
      <c r="C87" s="27">
        <v>8.9160373732031992</v>
      </c>
      <c r="D87" s="88">
        <f t="shared" si="1"/>
        <v>0.98068602171079711</v>
      </c>
      <c r="E87" s="94">
        <v>3.9495957302396641E-2</v>
      </c>
    </row>
    <row r="88" spans="1:5">
      <c r="A88" s="36">
        <v>76</v>
      </c>
      <c r="B88" s="27">
        <v>8.9289310220053508</v>
      </c>
      <c r="C88" s="27">
        <v>8.9160373732031992</v>
      </c>
      <c r="D88" s="88">
        <f t="shared" si="1"/>
        <v>0.9799173089635218</v>
      </c>
      <c r="E88" s="94">
        <v>3.8976273653680893E-2</v>
      </c>
    </row>
    <row r="89" spans="1:5">
      <c r="A89" s="36">
        <v>77</v>
      </c>
      <c r="B89" s="27">
        <v>8.9287504113683216</v>
      </c>
      <c r="C89" s="27">
        <v>8.9160373732031992</v>
      </c>
      <c r="D89" s="88">
        <f t="shared" si="1"/>
        <v>0.97890393871442249</v>
      </c>
      <c r="E89" s="94">
        <v>3.8470088281555168E-2</v>
      </c>
    </row>
    <row r="90" spans="1:5">
      <c r="A90" s="36">
        <v>78</v>
      </c>
      <c r="B90" s="27">
        <v>8.9285713543344887</v>
      </c>
      <c r="C90" s="27">
        <v>8.9160373732031992</v>
      </c>
      <c r="D90" s="88">
        <f t="shared" si="1"/>
        <v>0.97765052824057719</v>
      </c>
      <c r="E90" s="94">
        <v>3.7976882021535222E-2</v>
      </c>
    </row>
    <row r="91" spans="1:5">
      <c r="A91" s="36">
        <v>79</v>
      </c>
      <c r="B91" s="27">
        <v>8.9283938485340553</v>
      </c>
      <c r="C91" s="27">
        <v>8.9160373732031992</v>
      </c>
      <c r="D91" s="88">
        <f t="shared" si="1"/>
        <v>0.97616155113762737</v>
      </c>
      <c r="E91" s="94">
        <v>3.749616199594618E-2</v>
      </c>
    </row>
    <row r="92" spans="1:5">
      <c r="A92" s="36">
        <v>80</v>
      </c>
      <c r="B92" s="27">
        <v>8.928217889996457</v>
      </c>
      <c r="C92" s="27">
        <v>8.9160373732031992</v>
      </c>
      <c r="D92" s="88">
        <f t="shared" si="1"/>
        <v>0.97444134346062583</v>
      </c>
      <c r="E92" s="94">
        <v>3.7027459970996844E-2</v>
      </c>
    </row>
    <row r="93" spans="1:5">
      <c r="A93" s="36">
        <v>81</v>
      </c>
      <c r="B93" s="27">
        <v>8.9280434733194838</v>
      </c>
      <c r="C93" s="27">
        <v>8.9160373732031992</v>
      </c>
      <c r="D93" s="88">
        <f t="shared" si="1"/>
        <v>0.97249410941904912</v>
      </c>
      <c r="E93" s="94">
        <v>3.6570330835552438E-2</v>
      </c>
    </row>
    <row r="94" spans="1:5">
      <c r="A94" s="36">
        <v>82</v>
      </c>
      <c r="B94" s="27">
        <v>8.9278705918314039</v>
      </c>
      <c r="C94" s="27">
        <v>8.9160373732031992</v>
      </c>
      <c r="D94" s="88">
        <f t="shared" si="1"/>
        <v>0.97032392751277996</v>
      </c>
      <c r="E94" s="94">
        <v>3.6124351191216438E-2</v>
      </c>
    </row>
    <row r="95" spans="1:5">
      <c r="A95" s="36">
        <v>83</v>
      </c>
      <c r="B95" s="27">
        <v>8.9276992377243705</v>
      </c>
      <c r="C95" s="27">
        <v>8.9160373732031992</v>
      </c>
      <c r="D95" s="88">
        <f t="shared" si="1"/>
        <v>0.96793475525721284</v>
      </c>
      <c r="E95" s="94">
        <v>3.5689118044334313E-2</v>
      </c>
    </row>
    <row r="96" spans="1:5">
      <c r="A96" s="36">
        <v>84</v>
      </c>
      <c r="B96" s="27">
        <v>8.9275294021783846</v>
      </c>
      <c r="C96" s="27">
        <v>8.9160373732031992</v>
      </c>
      <c r="D96" s="88">
        <f t="shared" si="1"/>
        <v>0.96533043391557527</v>
      </c>
      <c r="E96" s="94">
        <v>3.5264247591425567E-2</v>
      </c>
    </row>
    <row r="97" spans="1:5">
      <c r="A97" s="36">
        <v>85</v>
      </c>
      <c r="B97" s="27">
        <v>8.9273610754873953</v>
      </c>
      <c r="C97" s="27">
        <v>8.9160373732031992</v>
      </c>
      <c r="D97" s="88">
        <f t="shared" si="1"/>
        <v>0.96251469415666868</v>
      </c>
      <c r="E97" s="94">
        <v>3.4849374090349973E-2</v>
      </c>
    </row>
    <row r="98" spans="1:5">
      <c r="A98" s="36">
        <v>86</v>
      </c>
      <c r="B98" s="27">
        <v>8.9271942471499628</v>
      </c>
      <c r="C98" s="27">
        <v>8.9160373732031992</v>
      </c>
      <c r="D98" s="88">
        <f t="shared" si="1"/>
        <v>0.95949115942166685</v>
      </c>
      <c r="E98" s="94">
        <v>3.4444148810229627E-2</v>
      </c>
    </row>
    <row r="99" spans="1:5">
      <c r="A99" s="36">
        <v>87</v>
      </c>
      <c r="B99" s="27">
        <v>8.9270289059730512</v>
      </c>
      <c r="C99" s="27">
        <v>8.9160373732031992</v>
      </c>
      <c r="D99" s="88">
        <f t="shared" si="1"/>
        <v>0.95626335097712278</v>
      </c>
      <c r="E99" s="94">
        <v>3.4048239053790202E-2</v>
      </c>
    </row>
    <row r="100" spans="1:5">
      <c r="A100" s="36">
        <v>88</v>
      </c>
      <c r="B100" s="27">
        <v>8.9268650401508065</v>
      </c>
      <c r="C100" s="27">
        <v>8.9160373732031992</v>
      </c>
      <c r="D100" s="88">
        <f t="shared" si="1"/>
        <v>0.95283469138944099</v>
      </c>
      <c r="E100" s="94">
        <v>3.366132724636077E-2</v>
      </c>
    </row>
    <row r="101" spans="1:5">
      <c r="A101" s="36">
        <v>89</v>
      </c>
      <c r="B101" s="27">
        <v>8.9267026373456506</v>
      </c>
      <c r="C101" s="27">
        <v>8.9160373732031992</v>
      </c>
      <c r="D101" s="88">
        <f t="shared" si="1"/>
        <v>0.94920850867817386</v>
      </c>
      <c r="E101" s="94">
        <v>3.32831100862893E-2</v>
      </c>
    </row>
    <row r="102" spans="1:5">
      <c r="A102" s="36">
        <v>90</v>
      </c>
      <c r="B102" s="27">
        <v>8.9265416847568613</v>
      </c>
      <c r="C102" s="27">
        <v>8.9160373732031992</v>
      </c>
      <c r="D102" s="88">
        <f t="shared" si="1"/>
        <v>0.94538803982958441</v>
      </c>
      <c r="E102" s="94">
        <v>3.2913297751997202E-2</v>
      </c>
    </row>
    <row r="103" spans="1:5">
      <c r="A103" s="36">
        <v>91</v>
      </c>
      <c r="B103" s="27">
        <v>8.9263821691820215</v>
      </c>
      <c r="C103" s="27">
        <v>8.9160373732031992</v>
      </c>
      <c r="D103" s="88">
        <f t="shared" si="1"/>
        <v>0.941376434072831</v>
      </c>
      <c r="E103" s="94">
        <v>3.2551613161315912E-2</v>
      </c>
    </row>
    <row r="104" spans="1:5">
      <c r="A104" s="36">
        <v>92</v>
      </c>
      <c r="B104" s="27">
        <v>8.9262240770783166</v>
      </c>
      <c r="C104" s="27">
        <v>8.9160373732031992</v>
      </c>
      <c r="D104" s="88">
        <f t="shared" si="1"/>
        <v>0.93717675651079446</v>
      </c>
      <c r="E104" s="94">
        <v>3.2197791279127697E-2</v>
      </c>
    </row>
    <row r="105" spans="1:5">
      <c r="A105" s="36">
        <v>93</v>
      </c>
      <c r="B105" s="27">
        <v>8.9260673946137192</v>
      </c>
      <c r="C105" s="27">
        <v>8.9160373732031992</v>
      </c>
      <c r="D105" s="88">
        <f t="shared" si="1"/>
        <v>0.93279199117836065</v>
      </c>
      <c r="E105" s="94">
        <v>3.1851578469674707E-2</v>
      </c>
    </row>
    <row r="106" spans="1:5">
      <c r="A106" s="36">
        <v>94</v>
      </c>
      <c r="B106" s="27">
        <v>8.9259121077120778</v>
      </c>
      <c r="C106" s="27">
        <v>8.9160373732031992</v>
      </c>
      <c r="D106" s="88">
        <f t="shared" si="1"/>
        <v>0.92822504383458337</v>
      </c>
      <c r="E106" s="94">
        <v>3.1512731890210081E-2</v>
      </c>
    </row>
    <row r="107" spans="1:5">
      <c r="A107" s="36">
        <v>95</v>
      </c>
      <c r="B107" s="27">
        <v>8.9257582020945634</v>
      </c>
      <c r="C107" s="27">
        <v>8.9160373732031992</v>
      </c>
      <c r="D107" s="88">
        <f t="shared" si="1"/>
        <v>0.92347874467959556</v>
      </c>
      <c r="E107" s="94">
        <v>3.1181018922944708E-2</v>
      </c>
    </row>
    <row r="108" spans="1:5">
      <c r="A108" s="36">
        <v>96</v>
      </c>
      <c r="B108" s="27">
        <v>8.9256056633213436</v>
      </c>
      <c r="C108" s="27">
        <v>8.9160373732031992</v>
      </c>
      <c r="D108" s="88">
        <f t="shared" si="1"/>
        <v>0.91855585134186413</v>
      </c>
      <c r="E108" s="94">
        <v>3.0856216642497367E-2</v>
      </c>
    </row>
    <row r="109" spans="1:5">
      <c r="A109" s="36">
        <v>97</v>
      </c>
      <c r="B109" s="27">
        <v>8.925454476830911</v>
      </c>
      <c r="C109" s="27">
        <v>8.9160373732031992</v>
      </c>
      <c r="D109" s="88">
        <f t="shared" si="1"/>
        <v>0.91345905188804011</v>
      </c>
      <c r="E109" s="94">
        <v>3.053811131628606E-2</v>
      </c>
    </row>
    <row r="110" spans="1:5">
      <c r="A110" s="36">
        <v>98</v>
      </c>
      <c r="B110" s="27">
        <v>8.9253046279588748</v>
      </c>
      <c r="C110" s="27">
        <v>8.9160373732031992</v>
      </c>
      <c r="D110" s="88">
        <f t="shared" si="1"/>
        <v>0.90819096605620686</v>
      </c>
      <c r="E110" s="94">
        <v>3.0226497935507628E-2</v>
      </c>
    </row>
    <row r="111" spans="1:5">
      <c r="A111" s="36">
        <v>99</v>
      </c>
      <c r="B111" s="27">
        <v>8.925156101982509</v>
      </c>
      <c r="C111" s="27">
        <v>8.9160373732031992</v>
      </c>
      <c r="D111" s="88">
        <f t="shared" si="1"/>
        <v>0.90275414915166508</v>
      </c>
      <c r="E111" s="94">
        <v>2.9921179774542908E-2</v>
      </c>
    </row>
    <row r="112" spans="1:5">
      <c r="A112" s="36">
        <v>100</v>
      </c>
      <c r="B112" s="27">
        <v>8.9250088841286548</v>
      </c>
      <c r="C112" s="27">
        <v>8.9160373732031992</v>
      </c>
      <c r="D112" s="88">
        <f t="shared" si="1"/>
        <v>0.89715109254555614</v>
      </c>
      <c r="E112" s="94">
        <v>2.9621967976797479E-2</v>
      </c>
    </row>
    <row r="113" spans="1:5">
      <c r="A113" s="36">
        <v>101</v>
      </c>
      <c r="B113">
        <v>8.9248629596174549</v>
      </c>
      <c r="C113" s="27">
        <v>8.9160373732031992</v>
      </c>
      <c r="D113" s="88">
        <f t="shared" ref="D113:D176" si="2">(B113-C113)*A113</f>
        <v>0.89138422783982385</v>
      </c>
      <c r="E113" s="94">
        <v>2.9328681165146017E-2</v>
      </c>
    </row>
    <row r="114" spans="1:5">
      <c r="A114" s="36">
        <v>102</v>
      </c>
      <c r="B114">
        <v>8.9247183136637105</v>
      </c>
      <c r="C114" s="27">
        <v>8.9160373732031992</v>
      </c>
      <c r="D114" s="88">
        <f t="shared" si="2"/>
        <v>0.88545592697214914</v>
      </c>
      <c r="E114" s="94">
        <v>2.9041145075291642E-2</v>
      </c>
    </row>
    <row r="115" spans="1:5">
      <c r="A115" s="36">
        <v>103</v>
      </c>
      <c r="B115">
        <v>8.9245749315129732</v>
      </c>
      <c r="C115" s="27">
        <v>8.9160373732031992</v>
      </c>
      <c r="D115" s="88">
        <f t="shared" si="2"/>
        <v>0.87936850590672044</v>
      </c>
      <c r="E115" s="94">
        <v>2.8759192210482985E-2</v>
      </c>
    </row>
    <row r="116" spans="1:5">
      <c r="A116" s="36">
        <v>104</v>
      </c>
      <c r="B116">
        <v>8.9244327984412539</v>
      </c>
      <c r="C116" s="27">
        <v>8.9160373732031992</v>
      </c>
      <c r="D116" s="88">
        <f t="shared" si="2"/>
        <v>0.87312422475768869</v>
      </c>
      <c r="E116" s="94">
        <v>2.8482661516151423E-2</v>
      </c>
    </row>
    <row r="117" spans="1:5">
      <c r="A117" s="36">
        <v>105</v>
      </c>
      <c r="B117">
        <v>8.9242918997900098</v>
      </c>
      <c r="C117" s="27">
        <v>8.9160373732031992</v>
      </c>
      <c r="D117" s="88">
        <f t="shared" si="2"/>
        <v>0.86672529161511136</v>
      </c>
      <c r="E117" s="94">
        <v>2.8211398073140458E-2</v>
      </c>
    </row>
    <row r="118" spans="1:5">
      <c r="A118" s="36">
        <v>106</v>
      </c>
      <c r="B118">
        <v>8.9241522209623625</v>
      </c>
      <c r="C118" s="27">
        <v>8.9160373732031992</v>
      </c>
      <c r="D118" s="88">
        <f t="shared" si="2"/>
        <v>0.86017386247130645</v>
      </c>
      <c r="E118" s="94">
        <v>2.7945252808299507E-2</v>
      </c>
    </row>
    <row r="119" spans="1:5">
      <c r="A119" s="36">
        <v>107</v>
      </c>
      <c r="B119">
        <v>8.9240137474446399</v>
      </c>
      <c r="C119" s="27">
        <v>8.9160373732031992</v>
      </c>
      <c r="D119" s="88">
        <f t="shared" si="2"/>
        <v>0.85347204383415587</v>
      </c>
      <c r="E119" s="94">
        <v>2.7684082221306052E-2</v>
      </c>
    </row>
    <row r="120" spans="1:5">
      <c r="A120" s="36">
        <v>108</v>
      </c>
      <c r="B120">
        <v>8.9238764648160416</v>
      </c>
      <c r="C120" s="27">
        <v>8.9160373732031992</v>
      </c>
      <c r="D120" s="88">
        <f t="shared" si="2"/>
        <v>0.84662189418697409</v>
      </c>
      <c r="E120" s="94">
        <v>2.742774812666433E-2</v>
      </c>
    </row>
    <row r="121" spans="1:5">
      <c r="A121" s="36">
        <v>109</v>
      </c>
      <c r="B121">
        <v>8.9237403587552411</v>
      </c>
      <c r="C121" s="27">
        <v>8.9160373732031992</v>
      </c>
      <c r="D121" s="88">
        <f t="shared" si="2"/>
        <v>0.83962542517256189</v>
      </c>
      <c r="E121" s="94">
        <v>2.7176117409905942E-2</v>
      </c>
    </row>
    <row r="122" spans="1:5">
      <c r="A122" s="36">
        <v>110</v>
      </c>
      <c r="B122">
        <v>8.9236054150550572</v>
      </c>
      <c r="C122" s="27">
        <v>8.9160373732031992</v>
      </c>
      <c r="D122" s="88">
        <f t="shared" si="2"/>
        <v>0.83248460370437982</v>
      </c>
      <c r="E122" s="94">
        <v>2.6929061797088615E-2</v>
      </c>
    </row>
    <row r="123" spans="1:5">
      <c r="A123" s="36">
        <v>111</v>
      </c>
      <c r="B123">
        <v>8.9234716196220134</v>
      </c>
      <c r="C123" s="27">
        <v>8.9160373732031992</v>
      </c>
      <c r="D123" s="88">
        <f t="shared" si="2"/>
        <v>0.82520135248837434</v>
      </c>
      <c r="E123" s="94">
        <v>2.6686457636754486E-2</v>
      </c>
    </row>
    <row r="124" spans="1:5">
      <c r="A124" s="36">
        <v>112</v>
      </c>
      <c r="B124">
        <v>8.9233389584893335</v>
      </c>
      <c r="C124" s="27">
        <v>8.9160373732031992</v>
      </c>
      <c r="D124" s="88">
        <f t="shared" si="2"/>
        <v>0.8177775520470334</v>
      </c>
      <c r="E124" s="94">
        <v>2.6448185693569173E-2</v>
      </c>
    </row>
    <row r="125" spans="1:5">
      <c r="A125" s="36">
        <v>113</v>
      </c>
      <c r="B125">
        <v>8.9232074178274736</v>
      </c>
      <c r="C125" s="27">
        <v>8.9160373732031992</v>
      </c>
      <c r="D125" s="88">
        <f t="shared" si="2"/>
        <v>0.8102150425430068</v>
      </c>
      <c r="E125" s="94">
        <v>2.6214130952918122E-2</v>
      </c>
    </row>
    <row r="126" spans="1:5">
      <c r="A126" s="36">
        <v>114</v>
      </c>
      <c r="B126">
        <v>8.923076983929656</v>
      </c>
      <c r="C126" s="27">
        <v>8.9160373732031992</v>
      </c>
      <c r="D126" s="88">
        <f t="shared" si="2"/>
        <v>0.80251562281607036</v>
      </c>
      <c r="E126" s="94">
        <v>2.5984182435787258E-2</v>
      </c>
    </row>
    <row r="127" spans="1:5">
      <c r="A127" s="36">
        <v>115</v>
      </c>
      <c r="B127">
        <v>8.9229476432459442</v>
      </c>
      <c r="C127" s="27">
        <v>8.9160373732031992</v>
      </c>
      <c r="D127" s="88">
        <f t="shared" si="2"/>
        <v>0.79468105491567798</v>
      </c>
      <c r="E127" s="94">
        <v>2.5758233023302157E-2</v>
      </c>
    </row>
    <row r="128" spans="1:5">
      <c r="A128" s="36">
        <v>116</v>
      </c>
      <c r="B128">
        <v>8.9228193823532429</v>
      </c>
      <c r="C128" s="27">
        <v>8.9160373732031992</v>
      </c>
      <c r="D128" s="88">
        <f t="shared" si="2"/>
        <v>0.78671306140506658</v>
      </c>
      <c r="E128" s="94">
        <v>2.5536179290342652E-2</v>
      </c>
    </row>
    <row r="129" spans="1:5">
      <c r="A129" s="36">
        <v>117</v>
      </c>
      <c r="B129">
        <v>8.9226921879951</v>
      </c>
      <c r="C129" s="27">
        <v>8.9160373732031992</v>
      </c>
      <c r="D129" s="88">
        <f t="shared" si="2"/>
        <v>0.7786133306523908</v>
      </c>
      <c r="E129" s="94">
        <v>2.5317921347690155E-2</v>
      </c>
    </row>
    <row r="130" spans="1:5">
      <c r="A130" s="36">
        <v>118</v>
      </c>
      <c r="B130">
        <v>8.9225660470464803</v>
      </c>
      <c r="C130" s="27">
        <v>8.9160373732031992</v>
      </c>
      <c r="D130" s="88">
        <f t="shared" si="2"/>
        <v>0.77038351350716283</v>
      </c>
      <c r="E130" s="94">
        <v>2.5103362692201252E-2</v>
      </c>
    </row>
    <row r="131" spans="1:5">
      <c r="A131" s="36">
        <v>119</v>
      </c>
      <c r="B131">
        <v>8.9224409465520491</v>
      </c>
      <c r="C131" s="27">
        <v>8.9160373732031992</v>
      </c>
      <c r="D131" s="88">
        <f t="shared" si="2"/>
        <v>0.76202522851313681</v>
      </c>
      <c r="E131" s="94">
        <v>2.4892410064535696E-2</v>
      </c>
    </row>
    <row r="132" spans="1:5">
      <c r="A132" s="36">
        <v>120</v>
      </c>
      <c r="B132">
        <v>8.9223168736979215</v>
      </c>
      <c r="C132" s="27">
        <v>8.9160373732031992</v>
      </c>
      <c r="D132" s="88">
        <f t="shared" si="2"/>
        <v>0.75354005936667079</v>
      </c>
      <c r="E132" s="94">
        <v>2.46849733139979E-2</v>
      </c>
    </row>
    <row r="133" spans="1:5">
      <c r="A133" s="36">
        <v>121</v>
      </c>
      <c r="B133">
        <v>8.9221938158371508</v>
      </c>
      <c r="C133" s="27">
        <v>8.9160373732031992</v>
      </c>
      <c r="D133" s="88">
        <f t="shared" si="2"/>
        <v>0.7449295587081366</v>
      </c>
      <c r="E133" s="94">
        <v>2.4480965270080559E-2</v>
      </c>
    </row>
    <row r="134" spans="1:5">
      <c r="A134" s="36">
        <v>122</v>
      </c>
      <c r="B134">
        <v>8.9220717604725728</v>
      </c>
      <c r="C134" s="27">
        <v>8.9160373732031992</v>
      </c>
      <c r="D134" s="88">
        <f t="shared" si="2"/>
        <v>0.73619524686357352</v>
      </c>
      <c r="E134" s="94">
        <v>2.4280301620325805E-2</v>
      </c>
    </row>
    <row r="135" spans="1:5">
      <c r="A135" s="36">
        <v>123</v>
      </c>
      <c r="B135">
        <v>8.9219506952664425</v>
      </c>
      <c r="C135" s="27">
        <v>8.9160373732031992</v>
      </c>
      <c r="D135" s="88">
        <f t="shared" si="2"/>
        <v>0.72733861377891884</v>
      </c>
      <c r="E135" s="94">
        <v>2.4082900794144296E-2</v>
      </c>
    </row>
    <row r="136" spans="1:5">
      <c r="A136" s="36">
        <v>124</v>
      </c>
      <c r="B136">
        <v>8.9218306080443224</v>
      </c>
      <c r="C136" s="27">
        <v>8.9160373732031992</v>
      </c>
      <c r="D136" s="88">
        <f t="shared" si="2"/>
        <v>0.71836112029927079</v>
      </c>
      <c r="E136" s="94">
        <v>2.388868385225603E-2</v>
      </c>
    </row>
    <row r="137" spans="1:5">
      <c r="A137" s="36">
        <v>125</v>
      </c>
      <c r="B137">
        <v>8.9217114867854335</v>
      </c>
      <c r="C137" s="27">
        <v>8.9160373732031992</v>
      </c>
      <c r="D137" s="88">
        <f t="shared" si="2"/>
        <v>0.70926419777928018</v>
      </c>
      <c r="E137" s="94">
        <v>2.3697574381437981E-2</v>
      </c>
    </row>
    <row r="138" spans="1:5">
      <c r="A138" s="36">
        <v>126</v>
      </c>
      <c r="B138">
        <v>8.9215933196275898</v>
      </c>
      <c r="C138" s="27">
        <v>8.9160373732031992</v>
      </c>
      <c r="D138" s="88">
        <f t="shared" si="2"/>
        <v>0.70004924947321712</v>
      </c>
      <c r="E138" s="94">
        <v>2.350949839428371E-2</v>
      </c>
    </row>
    <row r="139" spans="1:5">
      <c r="A139" s="36">
        <v>127</v>
      </c>
      <c r="B139">
        <v>8.9214760948700071</v>
      </c>
      <c r="C139" s="27">
        <v>8.9160373732031992</v>
      </c>
      <c r="D139" s="88">
        <f t="shared" si="2"/>
        <v>0.69071765168460608</v>
      </c>
      <c r="E139" s="94">
        <v>2.33243842336988E-2</v>
      </c>
    </row>
    <row r="140" spans="1:5">
      <c r="A140" s="36">
        <v>128</v>
      </c>
      <c r="B140">
        <v>8.9213598009725139</v>
      </c>
      <c r="C140" s="27">
        <v>8.9160373732031992</v>
      </c>
      <c r="D140" s="88">
        <f t="shared" si="2"/>
        <v>0.6812707544722798</v>
      </c>
      <c r="E140" s="94">
        <v>2.3142162481873028E-2</v>
      </c>
    </row>
    <row r="141" spans="1:5">
      <c r="A141" s="36">
        <v>129</v>
      </c>
      <c r="B141">
        <v>8.9212444265459379</v>
      </c>
      <c r="C141" s="27">
        <v>8.9160373732031992</v>
      </c>
      <c r="D141" s="88">
        <f t="shared" si="2"/>
        <v>0.67170988121328357</v>
      </c>
      <c r="E141" s="94">
        <v>2.2962765873486415E-2</v>
      </c>
    </row>
    <row r="142" spans="1:5">
      <c r="A142" s="36">
        <v>130</v>
      </c>
      <c r="B142">
        <v>8.9211299603603678</v>
      </c>
      <c r="C142" s="27">
        <v>8.9160373732031992</v>
      </c>
      <c r="D142" s="88">
        <f t="shared" si="2"/>
        <v>0.6620363304319099</v>
      </c>
      <c r="E142" s="94">
        <v>2.2786129212921138E-2</v>
      </c>
    </row>
    <row r="143" spans="1:5">
      <c r="A143" s="36">
        <v>131</v>
      </c>
      <c r="B143">
        <v>8.9210163913465745</v>
      </c>
      <c r="C143" s="27">
        <v>8.9160373732031992</v>
      </c>
      <c r="D143" s="88">
        <f t="shared" si="2"/>
        <v>0.65225137678216605</v>
      </c>
      <c r="E143" s="94">
        <v>2.2612189295265251E-2</v>
      </c>
    </row>
    <row r="144" spans="1:5">
      <c r="A144" s="36">
        <v>132</v>
      </c>
      <c r="B144">
        <v>8.9209037085815091</v>
      </c>
      <c r="C144" s="27">
        <v>8.9160373732031992</v>
      </c>
      <c r="D144" s="88">
        <f t="shared" si="2"/>
        <v>0.64235626993689721</v>
      </c>
      <c r="E144" s="94">
        <v>2.2440884830907181E-2</v>
      </c>
    </row>
    <row r="145" spans="1:5">
      <c r="A145" s="36">
        <v>133</v>
      </c>
      <c r="B145">
        <v>8.9207919013023886</v>
      </c>
      <c r="C145" s="27">
        <v>8.9160373732031992</v>
      </c>
      <c r="D145" s="88">
        <f t="shared" si="2"/>
        <v>0.63235223719219213</v>
      </c>
      <c r="E145" s="94">
        <v>2.2272156373531936E-2</v>
      </c>
    </row>
    <row r="146" spans="1:5">
      <c r="A146" s="36">
        <v>134</v>
      </c>
      <c r="B146">
        <v>8.9206809588983429</v>
      </c>
      <c r="C146" s="27">
        <v>8.9160373732031992</v>
      </c>
      <c r="D146" s="88">
        <f t="shared" si="2"/>
        <v>0.62224048314925184</v>
      </c>
      <c r="E146" s="94">
        <v>2.21059462513414E-2</v>
      </c>
    </row>
    <row r="147" spans="1:5">
      <c r="A147" s="36">
        <v>135</v>
      </c>
      <c r="B147">
        <v>8.9205708709031448</v>
      </c>
      <c r="C147" s="27">
        <v>8.9160373732031992</v>
      </c>
      <c r="D147" s="88">
        <f t="shared" si="2"/>
        <v>0.61202218949265585</v>
      </c>
      <c r="E147" s="94">
        <v>2.1942198501331465E-2</v>
      </c>
    </row>
    <row r="148" spans="1:5">
      <c r="A148" s="36">
        <v>136</v>
      </c>
      <c r="B148">
        <v>8.9204616270109511</v>
      </c>
      <c r="C148" s="27">
        <v>8.9160373732031992</v>
      </c>
      <c r="D148" s="88">
        <f t="shared" si="2"/>
        <v>0.60169851785425976</v>
      </c>
      <c r="E148" s="94">
        <v>2.1780858806468732E-2</v>
      </c>
    </row>
    <row r="149" spans="1:5">
      <c r="A149" s="36">
        <v>137</v>
      </c>
      <c r="B149">
        <v>8.9203532170523463</v>
      </c>
      <c r="C149" s="27">
        <v>8.9160373732031992</v>
      </c>
      <c r="D149" s="88">
        <f t="shared" si="2"/>
        <v>0.59127060733314885</v>
      </c>
      <c r="E149" s="94">
        <v>2.1621874435618596E-2</v>
      </c>
    </row>
    <row r="150" spans="1:5">
      <c r="A150" s="36">
        <v>138</v>
      </c>
      <c r="B150">
        <v>8.9202456310164351</v>
      </c>
      <c r="C150" s="27">
        <v>8.9160373732031992</v>
      </c>
      <c r="D150" s="88">
        <f t="shared" si="2"/>
        <v>0.58073957822654876</v>
      </c>
      <c r="E150" s="94">
        <v>2.146519418608513E-2</v>
      </c>
    </row>
    <row r="151" spans="1:5">
      <c r="A151" s="36">
        <v>139</v>
      </c>
      <c r="B151">
        <v>8.9201388590310078</v>
      </c>
      <c r="C151" s="27">
        <v>8.9160373732031992</v>
      </c>
      <c r="D151" s="88">
        <f t="shared" si="2"/>
        <v>0.5701065300653898</v>
      </c>
      <c r="E151" s="94">
        <v>2.1310768328631279E-2</v>
      </c>
    </row>
    <row r="152" spans="1:5">
      <c r="A152" s="36">
        <v>140</v>
      </c>
      <c r="B152">
        <v>8.9200328913616787</v>
      </c>
      <c r="C152" s="27">
        <v>8.9160373732031992</v>
      </c>
      <c r="D152" s="88">
        <f t="shared" si="2"/>
        <v>0.55937254218711985</v>
      </c>
      <c r="E152" s="94">
        <v>2.1158548554855341E-2</v>
      </c>
    </row>
    <row r="153" spans="1:5">
      <c r="A153" s="36">
        <v>141</v>
      </c>
      <c r="B153">
        <v>8.9199277184253951</v>
      </c>
      <c r="C153" s="27">
        <v>8.9160373732031992</v>
      </c>
      <c r="D153" s="88">
        <f t="shared" si="2"/>
        <v>0.5485386763296205</v>
      </c>
      <c r="E153" s="94">
        <v>2.1008487926806721E-2</v>
      </c>
    </row>
    <row r="154" spans="1:5">
      <c r="A154" s="36">
        <v>142</v>
      </c>
      <c r="B154">
        <v>8.9198233307795824</v>
      </c>
      <c r="C154" s="27">
        <v>8.9160373732031992</v>
      </c>
      <c r="D154" s="88">
        <f t="shared" si="2"/>
        <v>0.537605975846418</v>
      </c>
      <c r="E154" s="94">
        <v>2.0860540828730619E-2</v>
      </c>
    </row>
    <row r="155" spans="1:5">
      <c r="A155" s="36">
        <v>143</v>
      </c>
      <c r="B155">
        <v>8.9197197191052169</v>
      </c>
      <c r="C155" s="27">
        <v>8.9160373732031992</v>
      </c>
      <c r="D155" s="88">
        <f t="shared" si="2"/>
        <v>0.52657546398852517</v>
      </c>
      <c r="E155" s="94">
        <v>2.0714662920837398E-2</v>
      </c>
    </row>
    <row r="156" spans="1:5">
      <c r="A156" s="36">
        <v>144</v>
      </c>
      <c r="B156">
        <v>8.9196168742406545</v>
      </c>
      <c r="C156" s="27">
        <v>8.9160373732031992</v>
      </c>
      <c r="D156" s="88">
        <f t="shared" si="2"/>
        <v>0.51544814939356343</v>
      </c>
      <c r="E156" s="94">
        <v>2.0570811094998247E-2</v>
      </c>
    </row>
    <row r="157" spans="1:5">
      <c r="A157" s="36">
        <v>145</v>
      </c>
      <c r="B157">
        <v>8.9195147871386062</v>
      </c>
      <c r="C157" s="27">
        <v>8.9160373732031992</v>
      </c>
      <c r="D157" s="88">
        <f t="shared" si="2"/>
        <v>0.50422502063401708</v>
      </c>
      <c r="E157" s="94">
        <v>2.0428943432274121E-2</v>
      </c>
    </row>
    <row r="158" spans="1:5">
      <c r="A158" s="36">
        <v>146</v>
      </c>
      <c r="B158">
        <v>8.9194134489003538</v>
      </c>
      <c r="C158" s="27">
        <v>8.9160373732031992</v>
      </c>
      <c r="D158" s="88">
        <f t="shared" si="2"/>
        <v>0.49290705178457017</v>
      </c>
      <c r="E158" s="94">
        <v>2.0289019162190051E-2</v>
      </c>
    </row>
    <row r="159" spans="1:5">
      <c r="A159" s="36">
        <v>147</v>
      </c>
      <c r="B159">
        <v>8.9193128507482928</v>
      </c>
      <c r="C159" s="27">
        <v>8.9160373732031992</v>
      </c>
      <c r="D159" s="88">
        <f t="shared" si="2"/>
        <v>0.48149519912876038</v>
      </c>
      <c r="E159" s="94">
        <v>2.0150998623671753E-2</v>
      </c>
    </row>
    <row r="160" spans="1:5">
      <c r="A160" s="36">
        <v>148</v>
      </c>
      <c r="B160">
        <v>8.9192129840401169</v>
      </c>
      <c r="C160" s="27">
        <v>8.9160373732031992</v>
      </c>
      <c r="D160" s="88">
        <f t="shared" si="2"/>
        <v>0.46999040386381097</v>
      </c>
      <c r="E160" s="94">
        <v>2.0014843227565866E-2</v>
      </c>
    </row>
    <row r="161" spans="1:5">
      <c r="A161" s="36">
        <v>149</v>
      </c>
      <c r="B161">
        <v>8.9191138402550987</v>
      </c>
      <c r="C161" s="27">
        <v>8.9160373732031992</v>
      </c>
      <c r="D161" s="88">
        <f t="shared" si="2"/>
        <v>0.458393590733019</v>
      </c>
      <c r="E161" s="94">
        <v>1.9880515420669449E-2</v>
      </c>
    </row>
    <row r="162" spans="1:5">
      <c r="A162" s="36">
        <v>150</v>
      </c>
      <c r="B162">
        <v>8.9190154110012578</v>
      </c>
      <c r="C162" s="27">
        <v>8.9160373732031992</v>
      </c>
      <c r="D162" s="88">
        <f t="shared" si="2"/>
        <v>0.44670566970879122</v>
      </c>
      <c r="E162" s="94">
        <v>1.974797865119832E-2</v>
      </c>
    </row>
    <row r="163" spans="1:5">
      <c r="A163" s="36">
        <v>151</v>
      </c>
      <c r="B163">
        <v>8.9189176880119501</v>
      </c>
      <c r="C163" s="27">
        <v>8.9160373732031992</v>
      </c>
      <c r="D163" s="88">
        <f t="shared" si="2"/>
        <v>0.43492753612137669</v>
      </c>
      <c r="E163" s="94">
        <v>1.961719733562747E-2</v>
      </c>
    </row>
    <row r="164" spans="1:5">
      <c r="A164" s="36">
        <v>152</v>
      </c>
      <c r="B164">
        <v>8.9188206631409077</v>
      </c>
      <c r="C164" s="27">
        <v>8.9160373732031992</v>
      </c>
      <c r="D164" s="88">
        <f t="shared" si="2"/>
        <v>0.42306007053169026</v>
      </c>
      <c r="E164" s="94">
        <v>1.9488136826840446E-2</v>
      </c>
    </row>
    <row r="165" spans="1:5">
      <c r="A165" s="36">
        <v>153</v>
      </c>
      <c r="B165">
        <v>8.9187243283556832</v>
      </c>
      <c r="C165" s="27">
        <v>8.9160373732031992</v>
      </c>
      <c r="D165" s="88">
        <f t="shared" si="2"/>
        <v>0.411104138330046</v>
      </c>
      <c r="E165" s="94">
        <v>1.9360763383527765E-2</v>
      </c>
    </row>
    <row r="166" spans="1:5">
      <c r="A166" s="36">
        <v>154</v>
      </c>
      <c r="B166">
        <v>8.918628675748419</v>
      </c>
      <c r="C166" s="27">
        <v>8.9160373732031992</v>
      </c>
      <c r="D166" s="88">
        <f t="shared" si="2"/>
        <v>0.39906059196384547</v>
      </c>
      <c r="E166" s="94">
        <v>1.9235044140777584E-2</v>
      </c>
    </row>
    <row r="167" spans="1:5">
      <c r="A167" s="36">
        <v>155</v>
      </c>
      <c r="B167">
        <v>8.9185336975287708</v>
      </c>
      <c r="C167" s="27">
        <v>8.9160373732031992</v>
      </c>
      <c r="D167" s="88">
        <f t="shared" si="2"/>
        <v>0.38693027046359241</v>
      </c>
      <c r="E167" s="94">
        <v>1.9110947081804826E-2</v>
      </c>
    </row>
    <row r="168" spans="1:5">
      <c r="A168" s="36">
        <v>156</v>
      </c>
      <c r="B168">
        <v>8.9184393860187967</v>
      </c>
      <c r="C168" s="27">
        <v>8.9160373732031992</v>
      </c>
      <c r="D168" s="88">
        <f t="shared" si="2"/>
        <v>0.37471399923320803</v>
      </c>
      <c r="E168" s="94">
        <v>1.8988441010767611E-2</v>
      </c>
    </row>
    <row r="169" spans="1:5">
      <c r="A169" s="36">
        <v>157</v>
      </c>
      <c r="B169">
        <v>8.9183457336529788</v>
      </c>
      <c r="C169" s="27">
        <v>8.9160373732031992</v>
      </c>
      <c r="D169" s="88">
        <f t="shared" si="2"/>
        <v>0.36241259061539033</v>
      </c>
      <c r="E169" s="94">
        <v>1.8867495526622598E-2</v>
      </c>
    </row>
    <row r="170" spans="1:5">
      <c r="A170" s="36">
        <v>158</v>
      </c>
      <c r="B170">
        <v>8.9182527329764962</v>
      </c>
      <c r="C170" s="27">
        <v>8.9160373732031992</v>
      </c>
      <c r="D170" s="88">
        <f t="shared" si="2"/>
        <v>0.35002684418092755</v>
      </c>
      <c r="E170" s="94">
        <v>1.874808099797309E-2</v>
      </c>
    </row>
    <row r="171" spans="1:5">
      <c r="A171" s="36">
        <v>159</v>
      </c>
      <c r="B171">
        <v>8.9181603766398929</v>
      </c>
      <c r="C171" s="27">
        <v>8.9160373732031992</v>
      </c>
      <c r="D171" s="88">
        <f t="shared" si="2"/>
        <v>0.33755754643429725</v>
      </c>
      <c r="E171" s="94">
        <v>1.8630168538866339E-2</v>
      </c>
    </row>
    <row r="172" spans="1:5">
      <c r="A172" s="36">
        <v>160</v>
      </c>
      <c r="B172">
        <v>8.918068657411256</v>
      </c>
      <c r="C172" s="27">
        <v>8.9160373732031992</v>
      </c>
      <c r="D172" s="88">
        <f t="shared" si="2"/>
        <v>0.32500547328908169</v>
      </c>
      <c r="E172" s="94">
        <v>1.8513729985498422E-2</v>
      </c>
    </row>
    <row r="173" spans="1:5">
      <c r="A173" s="36">
        <v>161</v>
      </c>
      <c r="B173">
        <v>8.917977568152951</v>
      </c>
      <c r="C173" s="27">
        <v>8.9160373732031992</v>
      </c>
      <c r="D173" s="88">
        <f t="shared" si="2"/>
        <v>0.31237138691002819</v>
      </c>
      <c r="E173" s="94">
        <v>1.8398737873787249E-2</v>
      </c>
    </row>
    <row r="174" spans="1:5">
      <c r="A174" s="36">
        <v>162</v>
      </c>
      <c r="B174">
        <v>8.9178871018438723</v>
      </c>
      <c r="C174" s="27">
        <v>8.9160373732031992</v>
      </c>
      <c r="D174" s="88">
        <f t="shared" si="2"/>
        <v>0.29965603978904554</v>
      </c>
      <c r="E174" s="94">
        <v>1.8285165417776219E-2</v>
      </c>
    </row>
    <row r="175" spans="1:5">
      <c r="A175" s="36">
        <v>163</v>
      </c>
      <c r="B175">
        <v>8.9177972515532336</v>
      </c>
      <c r="C175" s="27">
        <v>8.9160373732031992</v>
      </c>
      <c r="D175" s="88">
        <f t="shared" si="2"/>
        <v>0.28686017105559536</v>
      </c>
      <c r="E175" s="94">
        <v>1.817298648883281E-2</v>
      </c>
    </row>
    <row r="176" spans="1:5">
      <c r="A176" s="36">
        <v>164</v>
      </c>
      <c r="B176">
        <v>8.9177080104613751</v>
      </c>
      <c r="C176" s="27">
        <v>8.9160373732031992</v>
      </c>
      <c r="D176" s="88">
        <f t="shared" si="2"/>
        <v>0.27398451034083848</v>
      </c>
      <c r="E176" s="94">
        <v>1.8062175595608219E-2</v>
      </c>
    </row>
    <row r="177" spans="1:5">
      <c r="A177" s="36">
        <v>165</v>
      </c>
      <c r="B177">
        <v>8.9176193718393293</v>
      </c>
      <c r="C177" s="27">
        <v>8.9160373732031992</v>
      </c>
      <c r="D177" s="88">
        <f t="shared" ref="D177:D240" si="3">(B177-C177)*A177</f>
        <v>0.26102977496146096</v>
      </c>
      <c r="E177" s="94">
        <v>1.7952707864725744E-2</v>
      </c>
    </row>
    <row r="178" spans="1:5">
      <c r="A178" s="36">
        <v>166</v>
      </c>
      <c r="B178">
        <v>8.9175313290555032</v>
      </c>
      <c r="C178" s="27">
        <v>8.9160373732031992</v>
      </c>
      <c r="D178" s="88">
        <f t="shared" si="3"/>
        <v>0.24799667148245419</v>
      </c>
      <c r="E178" s="94">
        <v>1.7844559022167156E-2</v>
      </c>
    </row>
    <row r="179" spans="1:5">
      <c r="A179" s="36">
        <v>167</v>
      </c>
      <c r="B179">
        <v>8.9174438755870771</v>
      </c>
      <c r="C179" s="27">
        <v>8.9160373732031992</v>
      </c>
      <c r="D179" s="88">
        <f t="shared" si="3"/>
        <v>0.23488589810760097</v>
      </c>
      <c r="E179" s="94">
        <v>1.7737705375327831E-2</v>
      </c>
    </row>
    <row r="180" spans="1:5">
      <c r="A180" s="36">
        <v>168</v>
      </c>
      <c r="B180">
        <v>8.9173570049908282</v>
      </c>
      <c r="C180" s="27">
        <v>8.9160373732031992</v>
      </c>
      <c r="D180" s="88">
        <f t="shared" si="3"/>
        <v>0.22169814032166357</v>
      </c>
      <c r="E180" s="94">
        <v>1.7632123795712783E-2</v>
      </c>
    </row>
    <row r="181" spans="1:5">
      <c r="A181" s="36">
        <v>169</v>
      </c>
      <c r="B181">
        <v>8.9172707109228391</v>
      </c>
      <c r="C181" s="27">
        <v>8.9160373732031992</v>
      </c>
      <c r="D181" s="88">
        <f t="shared" si="3"/>
        <v>0.20843407461913444</v>
      </c>
      <c r="E181" s="94">
        <v>1.7527791702247029E-2</v>
      </c>
    </row>
    <row r="182" spans="1:5">
      <c r="A182" s="36">
        <v>170</v>
      </c>
      <c r="B182">
        <v>8.9171849871315754</v>
      </c>
      <c r="C182" s="27">
        <v>8.9160373732031992</v>
      </c>
      <c r="D182" s="88">
        <f t="shared" si="3"/>
        <v>0.19509436782394474</v>
      </c>
      <c r="E182" s="94">
        <v>1.7424687045174986E-2</v>
      </c>
    </row>
    <row r="183" spans="1:5">
      <c r="A183" s="36">
        <v>171</v>
      </c>
      <c r="B183">
        <v>8.9170998274496913</v>
      </c>
      <c r="C183" s="27">
        <v>8.9160373732031992</v>
      </c>
      <c r="D183" s="88">
        <f t="shared" si="3"/>
        <v>0.18167967615014824</v>
      </c>
      <c r="E183" s="94">
        <v>1.7322788290524839E-2</v>
      </c>
    </row>
    <row r="184" spans="1:5">
      <c r="A184" s="36">
        <v>172</v>
      </c>
      <c r="B184">
        <v>8.9170152258075888</v>
      </c>
      <c r="C184" s="27">
        <v>8.9160373732031992</v>
      </c>
      <c r="D184" s="88">
        <f t="shared" si="3"/>
        <v>0.16819064795500083</v>
      </c>
      <c r="E184" s="94">
        <v>1.7222074405114814E-2</v>
      </c>
    </row>
    <row r="185" spans="1:5">
      <c r="A185" s="36">
        <v>173</v>
      </c>
      <c r="B185">
        <v>8.9169311762103458</v>
      </c>
      <c r="C185" s="27">
        <v>8.9160373732031992</v>
      </c>
      <c r="D185" s="88">
        <f t="shared" si="3"/>
        <v>0.15462792023635963</v>
      </c>
      <c r="E185" s="94">
        <v>1.7122524842079465E-2</v>
      </c>
    </row>
    <row r="186" spans="1:5">
      <c r="A186" s="36">
        <v>174</v>
      </c>
      <c r="B186">
        <v>8.9168476727598556</v>
      </c>
      <c r="C186" s="27">
        <v>8.9160373732031992</v>
      </c>
      <c r="D186" s="88">
        <f t="shared" si="3"/>
        <v>0.14099212285820428</v>
      </c>
      <c r="E186" s="94">
        <v>1.7024119526895101E-2</v>
      </c>
    </row>
    <row r="187" spans="1:5">
      <c r="A187" s="36">
        <v>175</v>
      </c>
      <c r="B187">
        <v>8.9167647096383451</v>
      </c>
      <c r="C187" s="27">
        <v>8.9160373732031992</v>
      </c>
      <c r="D187" s="88">
        <f t="shared" si="3"/>
        <v>0.12728387615053016</v>
      </c>
      <c r="E187" s="94">
        <v>1.6926838843884271E-2</v>
      </c>
    </row>
    <row r="188" spans="1:5">
      <c r="A188" s="36">
        <v>176</v>
      </c>
      <c r="B188">
        <v>8.9166822811043858</v>
      </c>
      <c r="C188" s="27">
        <v>8.9160373732031992</v>
      </c>
      <c r="D188" s="88">
        <f t="shared" si="3"/>
        <v>0.11350379060883142</v>
      </c>
      <c r="E188" s="94">
        <v>1.6830663623180385E-2</v>
      </c>
    </row>
    <row r="189" spans="1:5">
      <c r="A189" s="36">
        <v>177</v>
      </c>
      <c r="B189">
        <v>8.9166003815056722</v>
      </c>
      <c r="C189" s="27">
        <v>8.9160373732031992</v>
      </c>
      <c r="D189" s="88">
        <f t="shared" si="3"/>
        <v>9.9652469537724997E-2</v>
      </c>
      <c r="E189" s="94">
        <v>1.6735575128134169E-2</v>
      </c>
    </row>
    <row r="190" spans="1:5">
      <c r="A190" s="36">
        <v>178</v>
      </c>
      <c r="B190">
        <v>8.9165190052696843</v>
      </c>
      <c r="C190" s="27">
        <v>8.9160373732031992</v>
      </c>
      <c r="D190" s="88">
        <f t="shared" si="3"/>
        <v>8.5730507834348657E-2</v>
      </c>
      <c r="E190" s="94">
        <v>1.664155504314465E-2</v>
      </c>
    </row>
    <row r="191" spans="1:5">
      <c r="A191" s="36">
        <v>179</v>
      </c>
      <c r="B191">
        <v>8.9164381469020899</v>
      </c>
      <c r="C191" s="27">
        <v>8.9160373732031992</v>
      </c>
      <c r="D191" s="88">
        <f t="shared" si="3"/>
        <v>7.1738492101433238E-2</v>
      </c>
      <c r="E191" s="94">
        <v>1.6548585461898031E-2</v>
      </c>
    </row>
    <row r="192" spans="1:5">
      <c r="A192" s="36">
        <v>180</v>
      </c>
      <c r="B192">
        <v>8.9163578009759288</v>
      </c>
      <c r="C192" s="27">
        <v>8.9160373732031992</v>
      </c>
      <c r="D192" s="88">
        <f t="shared" si="3"/>
        <v>5.7676999091320624E-2</v>
      </c>
      <c r="E192" s="94">
        <v>1.6456648875998601E-2</v>
      </c>
    </row>
    <row r="193" spans="1:5">
      <c r="A193" s="36">
        <v>181</v>
      </c>
      <c r="B193">
        <v>8.9162779621534689</v>
      </c>
      <c r="C193" s="27">
        <v>8.9160373732031992</v>
      </c>
      <c r="D193" s="88">
        <f t="shared" si="3"/>
        <v>4.3546599998812496E-2</v>
      </c>
      <c r="E193" s="94">
        <v>1.6365728163976506E-2</v>
      </c>
    </row>
    <row r="194" spans="1:5">
      <c r="A194" s="36">
        <v>182</v>
      </c>
      <c r="B194">
        <v>8.9161986251646983</v>
      </c>
      <c r="C194" s="27">
        <v>8.9160373732031992</v>
      </c>
      <c r="D194" s="88">
        <f t="shared" si="3"/>
        <v>2.9347856992831822E-2</v>
      </c>
      <c r="E194" s="94">
        <v>1.6275806580657956E-2</v>
      </c>
    </row>
    <row r="195" spans="1:5">
      <c r="A195" s="36">
        <v>183</v>
      </c>
      <c r="B195">
        <v>8.9161197848133558</v>
      </c>
      <c r="C195" s="27">
        <v>8.9160373732031992</v>
      </c>
      <c r="D195" s="88">
        <f t="shared" si="3"/>
        <v>1.5081324658646977E-2</v>
      </c>
      <c r="E195" s="94">
        <v>1.6186867746883864E-2</v>
      </c>
    </row>
    <row r="196" spans="1:5">
      <c r="A196" s="36">
        <v>184</v>
      </c>
      <c r="B196">
        <v>8.9160414359842814</v>
      </c>
      <c r="C196" s="27">
        <v>8.9160373732031992</v>
      </c>
      <c r="D196" s="88">
        <f t="shared" si="3"/>
        <v>7.4755171912954665E-4</v>
      </c>
      <c r="E196" s="94">
        <v>1.6098895639563848E-2</v>
      </c>
    </row>
    <row r="197" spans="1:5">
      <c r="A197" s="36">
        <v>185</v>
      </c>
      <c r="B197">
        <v>8.9159635736189617</v>
      </c>
      <c r="C197" s="27">
        <v>8.9160373732031992</v>
      </c>
      <c r="D197" s="88">
        <f t="shared" si="3"/>
        <v>-1.3652923083933288E-2</v>
      </c>
      <c r="E197" s="94">
        <v>1.6011874582052693E-2</v>
      </c>
    </row>
    <row r="198" spans="1:5">
      <c r="A198" s="36">
        <v>186</v>
      </c>
      <c r="B198">
        <v>8.9158861927387996</v>
      </c>
      <c r="C198" s="27">
        <v>8.9160373732031992</v>
      </c>
      <c r="D198" s="88">
        <f t="shared" si="3"/>
        <v>-2.8119566378336458E-2</v>
      </c>
      <c r="E198" s="94">
        <v>1.5925789234837354E-2</v>
      </c>
    </row>
    <row r="199" spans="1:5">
      <c r="A199" s="36">
        <v>187</v>
      </c>
      <c r="B199">
        <v>8.9158092884346765</v>
      </c>
      <c r="C199" s="27">
        <v>8.9160373732031992</v>
      </c>
      <c r="D199" s="88">
        <f t="shared" si="3"/>
        <v>-4.2651851713756628E-2</v>
      </c>
      <c r="E199" s="94">
        <v>1.5840624586522713E-2</v>
      </c>
    </row>
    <row r="200" spans="1:5">
      <c r="A200" s="36">
        <v>188</v>
      </c>
      <c r="B200">
        <v>8.9157328558546372</v>
      </c>
      <c r="C200" s="27">
        <v>8.9160373732031992</v>
      </c>
      <c r="D200" s="88">
        <f t="shared" si="3"/>
        <v>-5.7249261529669582E-2</v>
      </c>
      <c r="E200" s="94">
        <v>1.5756365945105041E-2</v>
      </c>
    </row>
    <row r="201" spans="1:5">
      <c r="A201" s="36">
        <v>189</v>
      </c>
      <c r="B201">
        <v>8.9156568902274671</v>
      </c>
      <c r="C201" s="27">
        <v>8.9160373732031992</v>
      </c>
      <c r="D201" s="88">
        <f t="shared" si="3"/>
        <v>-7.1911282413370969E-2</v>
      </c>
      <c r="E201" s="94">
        <v>1.5672998929522473E-2</v>
      </c>
    </row>
    <row r="202" spans="1:5">
      <c r="A202" s="36">
        <v>190</v>
      </c>
      <c r="B202">
        <v>8.9155813868334004</v>
      </c>
      <c r="C202" s="27">
        <v>8.9160373732031992</v>
      </c>
      <c r="D202" s="88">
        <f t="shared" si="3"/>
        <v>-8.6637410261776182E-2</v>
      </c>
      <c r="E202" s="94">
        <v>1.5590509461472354E-2</v>
      </c>
    </row>
    <row r="203" spans="1:5">
      <c r="A203" s="36">
        <v>191</v>
      </c>
      <c r="B203">
        <v>8.9155063410326552</v>
      </c>
      <c r="C203" s="27">
        <v>8.9160373732031992</v>
      </c>
      <c r="D203" s="88">
        <f t="shared" si="3"/>
        <v>-0.10142714457391655</v>
      </c>
      <c r="E203" s="94">
        <v>1.5508883757485591E-2</v>
      </c>
    </row>
    <row r="204" spans="1:5">
      <c r="A204" s="36">
        <v>192</v>
      </c>
      <c r="B204">
        <v>8.9154317482300662</v>
      </c>
      <c r="C204" s="27">
        <v>8.9160373732031992</v>
      </c>
      <c r="D204" s="88">
        <f t="shared" si="3"/>
        <v>-0.11627999484153406</v>
      </c>
      <c r="E204" s="94">
        <v>1.5428108321248683E-2</v>
      </c>
    </row>
    <row r="205" spans="1:5">
      <c r="A205" s="36">
        <v>193</v>
      </c>
      <c r="B205">
        <v>8.9153576039083333</v>
      </c>
      <c r="C205" s="27">
        <v>8.9160373732031992</v>
      </c>
      <c r="D205" s="88">
        <f t="shared" si="3"/>
        <v>-0.1311954739091199</v>
      </c>
      <c r="E205" s="94">
        <v>1.5348169936164497E-2</v>
      </c>
    </row>
    <row r="206" spans="1:5">
      <c r="A206" s="36">
        <v>194</v>
      </c>
      <c r="B206">
        <v>8.9152839036086355</v>
      </c>
      <c r="C206" s="27">
        <v>8.9160373732031992</v>
      </c>
      <c r="D206" s="88">
        <f t="shared" si="3"/>
        <v>-0.14617310134535444</v>
      </c>
      <c r="E206" s="94">
        <v>1.526905565814303E-2</v>
      </c>
    </row>
    <row r="207" spans="1:5">
      <c r="A207" s="36">
        <v>195</v>
      </c>
      <c r="B207">
        <v>8.9152106429210232</v>
      </c>
      <c r="C207" s="27">
        <v>8.9160373732031992</v>
      </c>
      <c r="D207" s="88">
        <f t="shared" si="3"/>
        <v>-0.16121240502433132</v>
      </c>
      <c r="E207" s="94">
        <v>1.5190752808614091E-2</v>
      </c>
    </row>
    <row r="208" spans="1:5">
      <c r="A208" s="36">
        <v>196</v>
      </c>
      <c r="B208">
        <v>8.9151378175134042</v>
      </c>
      <c r="C208" s="27">
        <v>8.9160373732031992</v>
      </c>
      <c r="D208" s="88">
        <f t="shared" si="3"/>
        <v>-0.17631291519982994</v>
      </c>
      <c r="E208" s="94">
        <v>1.5113248967753814E-2</v>
      </c>
    </row>
    <row r="209" spans="1:5">
      <c r="A209" s="36">
        <v>197</v>
      </c>
      <c r="B209">
        <v>8.915065423090585</v>
      </c>
      <c r="C209" s="27">
        <v>8.9160373732031992</v>
      </c>
      <c r="D209" s="88">
        <f t="shared" si="3"/>
        <v>-0.19147417218499641</v>
      </c>
      <c r="E209" s="94">
        <v>1.50365319679175E-2</v>
      </c>
    </row>
    <row r="210" spans="1:5">
      <c r="A210" s="36">
        <v>198</v>
      </c>
      <c r="B210">
        <v>8.9149934554338941</v>
      </c>
      <c r="C210" s="27">
        <v>8.9160373732031992</v>
      </c>
      <c r="D210" s="88">
        <f t="shared" si="3"/>
        <v>-0.20669571832241473</v>
      </c>
      <c r="E210" s="94">
        <v>1.4960589887271454E-2</v>
      </c>
    </row>
    <row r="211" spans="1:5">
      <c r="A211" s="36">
        <v>199</v>
      </c>
      <c r="B211">
        <v>8.9149219103768438</v>
      </c>
      <c r="C211" s="27">
        <v>8.9160373732031992</v>
      </c>
      <c r="D211" s="88">
        <f t="shared" si="3"/>
        <v>-0.22197710244473257</v>
      </c>
      <c r="E211" s="94">
        <v>1.4885411043616823E-2</v>
      </c>
    </row>
    <row r="212" spans="1:5">
      <c r="A212" s="36">
        <v>200</v>
      </c>
      <c r="B212">
        <v>8.9148507837939039</v>
      </c>
      <c r="C212" s="27">
        <v>8.9160373732031992</v>
      </c>
      <c r="D212" s="88">
        <f t="shared" si="3"/>
        <v>-0.237317881859056</v>
      </c>
      <c r="E212" s="94">
        <v>1.4810983988398739E-2</v>
      </c>
    </row>
    <row r="213" spans="1:5">
      <c r="A213" s="36">
        <v>201</v>
      </c>
      <c r="B213">
        <v>8.9147800716324888</v>
      </c>
      <c r="C213" s="27">
        <v>8.9160373732031992</v>
      </c>
      <c r="D213" s="88">
        <f t="shared" si="3"/>
        <v>-0.25271761571280393</v>
      </c>
      <c r="E213" s="94">
        <v>1.4737297500894267E-2</v>
      </c>
    </row>
    <row r="214" spans="1:5">
      <c r="A214" s="36">
        <v>202</v>
      </c>
      <c r="B214">
        <v>8.9147097698801225</v>
      </c>
      <c r="C214" s="27">
        <v>8.9160373732031992</v>
      </c>
      <c r="D214" s="88">
        <f t="shared" si="3"/>
        <v>-0.26817587126149078</v>
      </c>
      <c r="E214" s="94">
        <v>1.4664340582573009E-2</v>
      </c>
    </row>
    <row r="215" spans="1:5">
      <c r="A215" s="36">
        <v>203</v>
      </c>
      <c r="B215">
        <v>8.914639874589378</v>
      </c>
      <c r="C215" s="27">
        <v>8.9160373732031992</v>
      </c>
      <c r="D215" s="88">
        <f t="shared" si="3"/>
        <v>-0.28369221860570626</v>
      </c>
      <c r="E215" s="94">
        <v>1.4592102451624374E-2</v>
      </c>
    </row>
    <row r="216" spans="1:5">
      <c r="A216" s="36">
        <v>204</v>
      </c>
      <c r="B216">
        <v>8.9145703818569082</v>
      </c>
      <c r="C216" s="27">
        <v>8.9160373732031992</v>
      </c>
      <c r="D216" s="88">
        <f t="shared" si="3"/>
        <v>-0.29926623464336899</v>
      </c>
      <c r="E216" s="94">
        <v>1.4520572537645821E-2</v>
      </c>
    </row>
    <row r="217" spans="1:5">
      <c r="A217" s="36">
        <v>205</v>
      </c>
      <c r="B217">
        <v>8.9145012878305607</v>
      </c>
      <c r="C217" s="27">
        <v>8.9160373732031992</v>
      </c>
      <c r="D217" s="88">
        <f t="shared" si="3"/>
        <v>-0.31489750139089168</v>
      </c>
      <c r="E217" s="94">
        <v>1.4449740476486575E-2</v>
      </c>
    </row>
    <row r="218" spans="1:5">
      <c r="A218" s="36">
        <v>206</v>
      </c>
      <c r="B218">
        <v>8.914432588714984</v>
      </c>
      <c r="C218" s="27">
        <v>8.9160373732031992</v>
      </c>
      <c r="D218" s="88">
        <f t="shared" si="3"/>
        <v>-0.33058560457233455</v>
      </c>
      <c r="E218" s="94">
        <v>1.4379596105241492E-2</v>
      </c>
    </row>
    <row r="219" spans="1:5">
      <c r="A219" s="36">
        <v>207</v>
      </c>
      <c r="B219">
        <v>8.9143642807504602</v>
      </c>
      <c r="C219" s="27">
        <v>8.9160373732031992</v>
      </c>
      <c r="D219" s="88">
        <f t="shared" si="3"/>
        <v>-0.34633013771698451</v>
      </c>
      <c r="E219" s="94">
        <v>1.4310129457390085E-2</v>
      </c>
    </row>
    <row r="220" spans="1:5">
      <c r="A220" s="36">
        <v>208</v>
      </c>
      <c r="B220">
        <v>8.9142963602437764</v>
      </c>
      <c r="C220" s="27">
        <v>8.9160373732031992</v>
      </c>
      <c r="D220" s="88">
        <f t="shared" si="3"/>
        <v>-0.36213069555995503</v>
      </c>
      <c r="E220" s="94">
        <v>1.4241330758075712E-2</v>
      </c>
    </row>
    <row r="221" spans="1:5">
      <c r="A221" s="36">
        <v>209</v>
      </c>
      <c r="B221">
        <v>8.914228823540757</v>
      </c>
      <c r="C221" s="27">
        <v>8.9160373732031992</v>
      </c>
      <c r="D221" s="88">
        <f t="shared" si="3"/>
        <v>-0.37798687945043241</v>
      </c>
      <c r="E221" s="94">
        <v>1.4173190419520323E-2</v>
      </c>
    </row>
    <row r="222" spans="1:5">
      <c r="A222" s="36">
        <v>210</v>
      </c>
      <c r="B222">
        <v>8.9141616670289068</v>
      </c>
      <c r="C222" s="27">
        <v>8.9160373732031992</v>
      </c>
      <c r="D222" s="88">
        <f t="shared" si="3"/>
        <v>-0.39389829660141373</v>
      </c>
      <c r="E222" s="94">
        <v>1.4105699036570229E-2</v>
      </c>
    </row>
    <row r="223" spans="1:5">
      <c r="A223" s="36">
        <v>211</v>
      </c>
      <c r="B223">
        <v>8.9140948871476855</v>
      </c>
      <c r="C223" s="27">
        <v>8.9160373732031992</v>
      </c>
      <c r="D223" s="88">
        <f t="shared" si="3"/>
        <v>-0.40986455771339614</v>
      </c>
      <c r="E223" s="94">
        <v>1.4038847382368474E-2</v>
      </c>
    </row>
    <row r="224" spans="1:5">
      <c r="A224" s="36">
        <v>212</v>
      </c>
      <c r="B224">
        <v>8.9140284803887795</v>
      </c>
      <c r="C224" s="27">
        <v>8.9160373732031992</v>
      </c>
      <c r="D224" s="88">
        <f t="shared" si="3"/>
        <v>-0.4258852766569845</v>
      </c>
      <c r="E224" s="94">
        <v>1.3972626404149754E-2</v>
      </c>
    </row>
    <row r="225" spans="1:5">
      <c r="A225" s="36">
        <v>213</v>
      </c>
      <c r="B225">
        <v>8.9139624432740536</v>
      </c>
      <c r="C225" s="27">
        <v>8.9160373732031992</v>
      </c>
      <c r="D225" s="88">
        <f t="shared" si="3"/>
        <v>-0.44196007490801215</v>
      </c>
      <c r="E225" s="94">
        <v>1.3907027219153744E-2</v>
      </c>
    </row>
    <row r="226" spans="1:5">
      <c r="A226" s="36">
        <v>214</v>
      </c>
      <c r="B226">
        <v>8.9138967723905527</v>
      </c>
      <c r="C226" s="27">
        <v>8.9160373732031992</v>
      </c>
      <c r="D226" s="88">
        <f t="shared" si="3"/>
        <v>-0.45808857390636248</v>
      </c>
      <c r="E226" s="94">
        <v>1.3842041110653026E-2</v>
      </c>
    </row>
    <row r="227" spans="1:5">
      <c r="A227" s="36">
        <v>215</v>
      </c>
      <c r="B227">
        <v>8.9138314643447725</v>
      </c>
      <c r="C227" s="27">
        <v>8.9160373732031992</v>
      </c>
      <c r="D227" s="88">
        <f t="shared" si="3"/>
        <v>-0.47427040456175185</v>
      </c>
      <c r="E227" s="94">
        <v>1.3777659524091849E-2</v>
      </c>
    </row>
    <row r="228" spans="1:5">
      <c r="A228" s="36">
        <v>216</v>
      </c>
      <c r="B228">
        <v>8.9137665158010044</v>
      </c>
      <c r="C228" s="27">
        <v>8.9160373732031992</v>
      </c>
      <c r="D228" s="88">
        <f t="shared" si="3"/>
        <v>-0.49050519887407518</v>
      </c>
      <c r="E228" s="94">
        <v>1.3713874063332165E-2</v>
      </c>
    </row>
    <row r="229" spans="1:5">
      <c r="A229" s="36">
        <v>217</v>
      </c>
      <c r="B229">
        <v>8.9137019234650072</v>
      </c>
      <c r="C229" s="27">
        <v>8.9160373732031992</v>
      </c>
      <c r="D229" s="88">
        <f t="shared" si="3"/>
        <v>-0.50679259318766334</v>
      </c>
      <c r="E229" s="94">
        <v>1.3650676487003447E-2</v>
      </c>
    </row>
    <row r="230" spans="1:5">
      <c r="A230" s="36">
        <v>218</v>
      </c>
      <c r="B230">
        <v>8.913637684080447</v>
      </c>
      <c r="C230" s="27">
        <v>8.9160373732031992</v>
      </c>
      <c r="D230" s="88">
        <f t="shared" si="3"/>
        <v>-0.52313222875998733</v>
      </c>
      <c r="E230" s="94">
        <v>1.3588058704952971E-2</v>
      </c>
    </row>
    <row r="231" spans="1:5">
      <c r="A231" s="36">
        <v>219</v>
      </c>
      <c r="B231">
        <v>8.9135737944288866</v>
      </c>
      <c r="C231" s="27">
        <v>8.9160373732031992</v>
      </c>
      <c r="D231" s="88">
        <f t="shared" si="3"/>
        <v>-0.53952375157445509</v>
      </c>
      <c r="E231" s="94">
        <v>1.3526012774793367E-2</v>
      </c>
    </row>
    <row r="232" spans="1:5">
      <c r="A232" s="36">
        <v>220</v>
      </c>
      <c r="B232">
        <v>8.9135102513410818</v>
      </c>
      <c r="C232" s="27">
        <v>8.9160373732031992</v>
      </c>
      <c r="D232" s="88">
        <f t="shared" si="3"/>
        <v>-0.55596680966583989</v>
      </c>
      <c r="E232" s="94">
        <v>1.3464530898544307E-2</v>
      </c>
    </row>
    <row r="233" spans="1:5">
      <c r="A233" s="36">
        <v>221</v>
      </c>
      <c r="B233">
        <v>8.9134470516799951</v>
      </c>
      <c r="C233" s="27">
        <v>8.9160373732031992</v>
      </c>
      <c r="D233" s="88">
        <f t="shared" si="3"/>
        <v>-0.57246105662811786</v>
      </c>
      <c r="E233" s="94">
        <v>1.3403605419365376E-2</v>
      </c>
    </row>
    <row r="234" spans="1:5">
      <c r="A234" s="36">
        <v>222</v>
      </c>
      <c r="B234">
        <v>8.9133841923530124</v>
      </c>
      <c r="C234" s="27">
        <v>8.9160373732031992</v>
      </c>
      <c r="D234" s="88">
        <f t="shared" si="3"/>
        <v>-0.58900614874147905</v>
      </c>
      <c r="E234" s="94">
        <v>1.3343228818377243E-2</v>
      </c>
    </row>
    <row r="235" spans="1:5">
      <c r="A235" s="36">
        <v>223</v>
      </c>
      <c r="B235">
        <v>8.913321670301066</v>
      </c>
      <c r="C235" s="27">
        <v>8.9160373732031992</v>
      </c>
      <c r="D235" s="88">
        <f t="shared" si="3"/>
        <v>-0.60560174717570092</v>
      </c>
      <c r="E235" s="94">
        <v>1.3283393711568376E-2</v>
      </c>
    </row>
    <row r="236" spans="1:5">
      <c r="A236" s="36">
        <v>224</v>
      </c>
      <c r="B236">
        <v>8.91325948250363</v>
      </c>
      <c r="C236" s="27">
        <v>8.9160373732031992</v>
      </c>
      <c r="D236" s="88">
        <f t="shared" si="3"/>
        <v>-0.62224751670350997</v>
      </c>
      <c r="E236" s="94">
        <v>1.3224092846784587E-2</v>
      </c>
    </row>
    <row r="237" spans="1:5">
      <c r="A237" s="36">
        <v>225</v>
      </c>
      <c r="B237">
        <v>8.9131976259848784</v>
      </c>
      <c r="C237" s="27">
        <v>8.9160373732031992</v>
      </c>
      <c r="D237" s="88">
        <f t="shared" si="3"/>
        <v>-0.63894312412218213</v>
      </c>
      <c r="E237" s="94">
        <v>1.316531910079888E-2</v>
      </c>
    </row>
    <row r="238" spans="1:5">
      <c r="A238" s="36">
        <v>226</v>
      </c>
      <c r="B238">
        <v>8.9131360977873104</v>
      </c>
      <c r="C238" s="27">
        <v>8.9160373732031992</v>
      </c>
      <c r="D238" s="88">
        <f t="shared" si="3"/>
        <v>-0.65568824399086978</v>
      </c>
      <c r="E238" s="94">
        <v>1.3107065476459061E-2</v>
      </c>
    </row>
    <row r="239" spans="1:5">
      <c r="A239" s="36">
        <v>227</v>
      </c>
      <c r="B239">
        <v>8.9130748950125938</v>
      </c>
      <c r="C239" s="27">
        <v>8.9160373732031992</v>
      </c>
      <c r="D239" s="88">
        <f t="shared" si="3"/>
        <v>-0.67248254926744089</v>
      </c>
      <c r="E239" s="94">
        <v>1.3049325099910785E-2</v>
      </c>
    </row>
    <row r="240" spans="1:5">
      <c r="A240" s="36">
        <v>228</v>
      </c>
      <c r="B240">
        <v>8.9130140147818668</v>
      </c>
      <c r="C240" s="27">
        <v>8.9160373732031992</v>
      </c>
      <c r="D240" s="88">
        <f t="shared" si="3"/>
        <v>-0.68932572006378479</v>
      </c>
      <c r="E240" s="94">
        <v>1.2992091217893629E-2</v>
      </c>
    </row>
    <row r="241" spans="1:5">
      <c r="A241" s="36">
        <v>229</v>
      </c>
      <c r="B241">
        <v>8.9129534542587479</v>
      </c>
      <c r="C241" s="27">
        <v>8.9160373732031992</v>
      </c>
      <c r="D241" s="88">
        <f t="shared" ref="D241:D304" si="4">(B241-C241)*A241</f>
        <v>-0.70621743827936356</v>
      </c>
      <c r="E241" s="94">
        <v>1.2935357195108068E-2</v>
      </c>
    </row>
    <row r="242" spans="1:5">
      <c r="A242" s="36">
        <v>230</v>
      </c>
      <c r="B242">
        <v>8.9128932106379857</v>
      </c>
      <c r="C242" s="27">
        <v>8.9160373732031992</v>
      </c>
      <c r="D242" s="88">
        <f t="shared" si="4"/>
        <v>-0.72315738999911616</v>
      </c>
      <c r="E242" s="94">
        <v>1.2879116511651079E-2</v>
      </c>
    </row>
    <row r="243" spans="1:5">
      <c r="A243" s="36">
        <v>231</v>
      </c>
      <c r="B243">
        <v>8.9128332811488598</v>
      </c>
      <c r="C243" s="27">
        <v>8.9160373732031992</v>
      </c>
      <c r="D243" s="88">
        <f t="shared" si="4"/>
        <v>-0.74014526455241736</v>
      </c>
      <c r="E243" s="94">
        <v>1.2823362760518389E-2</v>
      </c>
    </row>
    <row r="244" spans="1:5">
      <c r="A244" s="36">
        <v>232</v>
      </c>
      <c r="B244">
        <v>8.9127736630568588</v>
      </c>
      <c r="C244" s="27">
        <v>8.9160373732031992</v>
      </c>
      <c r="D244" s="88">
        <f t="shared" si="4"/>
        <v>-0.75718075395097628</v>
      </c>
      <c r="E244" s="94">
        <v>1.2768089645171326E-2</v>
      </c>
    </row>
    <row r="245" spans="1:5">
      <c r="A245" s="36">
        <v>233</v>
      </c>
      <c r="B245">
        <v>8.9127143536531523</v>
      </c>
      <c r="C245" s="27">
        <v>8.9160373732031992</v>
      </c>
      <c r="D245" s="88">
        <f t="shared" si="4"/>
        <v>-0.77426355516092293</v>
      </c>
      <c r="E245" s="94">
        <v>1.27132909771663E-2</v>
      </c>
    </row>
    <row r="246" spans="1:5">
      <c r="A246" s="36">
        <v>234</v>
      </c>
      <c r="B246">
        <v>8.9126553502680252</v>
      </c>
      <c r="C246" s="27">
        <v>8.9160373732031992</v>
      </c>
      <c r="D246" s="88">
        <f t="shared" si="4"/>
        <v>-0.79139336683071093</v>
      </c>
      <c r="E246" s="94">
        <v>1.2658960673845077E-2</v>
      </c>
    </row>
    <row r="247" spans="1:5">
      <c r="A247" s="36">
        <v>235</v>
      </c>
      <c r="B247">
        <v>8.9125966502692684</v>
      </c>
      <c r="C247" s="27">
        <v>8.9160373732031992</v>
      </c>
      <c r="D247" s="88">
        <f t="shared" si="4"/>
        <v>-0.80856988947374475</v>
      </c>
      <c r="E247" s="94">
        <v>1.2605092756084034E-2</v>
      </c>
    </row>
    <row r="248" spans="1:5">
      <c r="A248" s="36">
        <v>236</v>
      </c>
      <c r="B248">
        <v>8.9125382510368674</v>
      </c>
      <c r="C248" s="27">
        <v>8.9160373732031992</v>
      </c>
      <c r="D248" s="88">
        <f t="shared" si="4"/>
        <v>-0.82579283125431857</v>
      </c>
      <c r="E248" s="94">
        <v>1.2551681346100626E-2</v>
      </c>
    </row>
    <row r="249" spans="1:5">
      <c r="A249" s="36">
        <v>237</v>
      </c>
      <c r="B249">
        <v>8.9124801500023114</v>
      </c>
      <c r="C249" s="27">
        <v>8.9160373732031992</v>
      </c>
      <c r="D249" s="88">
        <f t="shared" si="4"/>
        <v>-0.8430618986104097</v>
      </c>
      <c r="E249" s="94">
        <v>1.2498720665315391E-2</v>
      </c>
    </row>
    <row r="250" spans="1:5">
      <c r="A250" s="36">
        <v>238</v>
      </c>
      <c r="B250">
        <v>8.9124223446143525</v>
      </c>
      <c r="C250" s="27">
        <v>8.9160373732031992</v>
      </c>
      <c r="D250" s="88">
        <f t="shared" si="4"/>
        <v>-0.86037680414553108</v>
      </c>
      <c r="E250" s="94">
        <v>1.2446205032267848E-2</v>
      </c>
    </row>
    <row r="251" spans="1:5">
      <c r="A251" s="36">
        <v>239</v>
      </c>
      <c r="B251">
        <v>8.9123648323575679</v>
      </c>
      <c r="C251" s="27">
        <v>8.9160373732031992</v>
      </c>
      <c r="D251" s="88">
        <f t="shared" si="4"/>
        <v>-0.8777372621058781</v>
      </c>
      <c r="E251" s="94">
        <v>1.2394128860584719E-2</v>
      </c>
    </row>
    <row r="252" spans="1:5">
      <c r="A252" s="36">
        <v>240</v>
      </c>
      <c r="B252">
        <v>8.9123076107448966</v>
      </c>
      <c r="C252" s="27">
        <v>8.9160373732031992</v>
      </c>
      <c r="D252" s="88">
        <f t="shared" si="4"/>
        <v>-0.8951429899926211</v>
      </c>
      <c r="E252" s="94">
        <v>1.234248665699895E-2</v>
      </c>
    </row>
    <row r="253" spans="1:5">
      <c r="A253" s="36">
        <v>241</v>
      </c>
      <c r="B253">
        <v>8.9122506773214152</v>
      </c>
      <c r="C253" s="27">
        <v>8.9160373732031992</v>
      </c>
      <c r="D253" s="88">
        <f t="shared" si="4"/>
        <v>-0.91259370750995394</v>
      </c>
      <c r="E253" s="94">
        <v>1.2291273019418042E-2</v>
      </c>
    </row>
    <row r="254" spans="1:5">
      <c r="A254" s="36">
        <v>242</v>
      </c>
      <c r="B254">
        <v>8.9121940296576536</v>
      </c>
      <c r="C254" s="27">
        <v>8.9160373732031992</v>
      </c>
      <c r="D254" s="88">
        <f t="shared" si="4"/>
        <v>-0.93008913802203708</v>
      </c>
      <c r="E254" s="94">
        <v>1.2240482635040279E-2</v>
      </c>
    </row>
    <row r="255" spans="1:5">
      <c r="A255" s="36">
        <v>243</v>
      </c>
      <c r="B255">
        <v>8.9121376653497215</v>
      </c>
      <c r="C255" s="27">
        <v>8.9160373732031992</v>
      </c>
      <c r="D255" s="88">
        <f t="shared" si="4"/>
        <v>-0.94762900839508291</v>
      </c>
      <c r="E255" s="94">
        <v>1.2190110278517482E-2</v>
      </c>
    </row>
    <row r="256" spans="1:5">
      <c r="A256" s="36">
        <v>244</v>
      </c>
      <c r="B256">
        <v>8.9120815820299786</v>
      </c>
      <c r="C256" s="27">
        <v>8.9160373732031992</v>
      </c>
      <c r="D256" s="88">
        <f t="shared" si="4"/>
        <v>-0.9652130462658377</v>
      </c>
      <c r="E256" s="94">
        <v>1.2140150810162903E-2</v>
      </c>
    </row>
    <row r="257" spans="1:5">
      <c r="A257" s="36">
        <v>245</v>
      </c>
      <c r="B257">
        <v>8.9120257773478624</v>
      </c>
      <c r="C257" s="27">
        <v>8.9160373732031992</v>
      </c>
      <c r="D257" s="88">
        <f t="shared" si="4"/>
        <v>-0.98284098455752478</v>
      </c>
      <c r="E257" s="94">
        <v>1.2090599174203054E-2</v>
      </c>
    </row>
    <row r="258" spans="1:5">
      <c r="A258" s="36">
        <v>246</v>
      </c>
      <c r="B258">
        <v>8.9119702489928425</v>
      </c>
      <c r="C258" s="27">
        <v>8.9160373732031992</v>
      </c>
      <c r="D258" s="88">
        <f t="shared" si="4"/>
        <v>-1.0005125557477506</v>
      </c>
      <c r="E258" s="94">
        <v>1.2041450397072148E-2</v>
      </c>
    </row>
    <row r="259" spans="1:5">
      <c r="A259" s="36">
        <v>247</v>
      </c>
      <c r="B259">
        <v>8.9119149946663718</v>
      </c>
      <c r="C259" s="27">
        <v>8.9160373732031992</v>
      </c>
      <c r="D259" s="88">
        <f t="shared" si="4"/>
        <v>-1.0182274985963673</v>
      </c>
      <c r="E259" s="94">
        <v>1.1992699585747967E-2</v>
      </c>
    </row>
    <row r="260" spans="1:5">
      <c r="A260" s="36">
        <v>248</v>
      </c>
      <c r="B260">
        <v>8.9118600121001599</v>
      </c>
      <c r="C260" s="27">
        <v>8.9160373732031992</v>
      </c>
      <c r="D260" s="88">
        <f t="shared" si="4"/>
        <v>-1.0359855535537577</v>
      </c>
      <c r="E260" s="94">
        <v>1.1944341926128015E-2</v>
      </c>
    </row>
    <row r="261" spans="1:5">
      <c r="A261" s="36">
        <v>249</v>
      </c>
      <c r="B261">
        <v>8.9118052990696714</v>
      </c>
      <c r="C261" s="27">
        <v>8.9160373732031992</v>
      </c>
      <c r="D261" s="88">
        <f t="shared" si="4"/>
        <v>-1.0537864592484159</v>
      </c>
      <c r="E261" s="94">
        <v>1.1896372681444769E-2</v>
      </c>
    </row>
    <row r="262" spans="1:5">
      <c r="A262" s="36">
        <v>250</v>
      </c>
      <c r="B262">
        <v>8.9117508533476801</v>
      </c>
      <c r="C262" s="27">
        <v>8.9160373732031992</v>
      </c>
      <c r="D262" s="88">
        <f t="shared" si="4"/>
        <v>-1.0716299638797722</v>
      </c>
      <c r="E262" s="94">
        <v>1.184878719071899E-2</v>
      </c>
    </row>
    <row r="263" spans="1:5">
      <c r="A263" s="36">
        <v>251</v>
      </c>
      <c r="B263">
        <v>8.9116966727547613</v>
      </c>
      <c r="C263" s="27">
        <v>8.9160373732031992</v>
      </c>
      <c r="D263" s="88">
        <f t="shared" si="4"/>
        <v>-1.0895158125579201</v>
      </c>
      <c r="E263" s="94">
        <v>1.1801580867249991E-2</v>
      </c>
    </row>
    <row r="264" spans="1:5">
      <c r="A264" s="36">
        <v>252</v>
      </c>
      <c r="B264">
        <v>8.9116427551271755</v>
      </c>
      <c r="C264" s="27">
        <v>8.9160373732031992</v>
      </c>
      <c r="D264" s="88">
        <f t="shared" si="4"/>
        <v>-1.1074437551579734</v>
      </c>
      <c r="E264" s="94">
        <v>1.1754749197141855E-2</v>
      </c>
    </row>
    <row r="265" spans="1:5">
      <c r="A265" s="36">
        <v>253</v>
      </c>
      <c r="B265">
        <v>8.9115890983193768</v>
      </c>
      <c r="C265" s="27">
        <v>8.9160373732031992</v>
      </c>
      <c r="D265" s="88">
        <f t="shared" si="4"/>
        <v>-1.1254135456070617</v>
      </c>
      <c r="E265" s="94">
        <v>1.1708287737864614E-2</v>
      </c>
    </row>
    <row r="266" spans="1:5">
      <c r="A266" s="36">
        <v>254</v>
      </c>
      <c r="B266">
        <v>8.9115357002221618</v>
      </c>
      <c r="C266" s="27">
        <v>8.9160373732031992</v>
      </c>
      <c r="D266" s="88">
        <f t="shared" si="4"/>
        <v>-1.1434249371835072</v>
      </c>
      <c r="E266" s="94">
        <v>1.16621921168494E-2</v>
      </c>
    </row>
    <row r="267" spans="1:5">
      <c r="A267" s="36">
        <v>255</v>
      </c>
      <c r="B267">
        <v>8.9114825587392712</v>
      </c>
      <c r="C267" s="27">
        <v>8.9160373732031992</v>
      </c>
      <c r="D267" s="88">
        <f t="shared" si="4"/>
        <v>-1.1614776883016464</v>
      </c>
      <c r="E267" s="94">
        <v>1.1616458030116657E-2</v>
      </c>
    </row>
    <row r="268" spans="1:5">
      <c r="A268" s="36">
        <v>256</v>
      </c>
      <c r="B268">
        <v>8.9114296718086869</v>
      </c>
      <c r="C268" s="27">
        <v>8.9160373732031992</v>
      </c>
      <c r="D268" s="88">
        <f t="shared" si="4"/>
        <v>-1.1795715569951426</v>
      </c>
      <c r="E268" s="94">
        <v>1.1571081240936514E-2</v>
      </c>
    </row>
    <row r="269" spans="1:5">
      <c r="A269" s="36">
        <v>257</v>
      </c>
      <c r="B269">
        <v>8.9113770373878261</v>
      </c>
      <c r="C269" s="27">
        <v>8.9160373732031992</v>
      </c>
      <c r="D269" s="88">
        <f t="shared" si="4"/>
        <v>-1.1977063045509055</v>
      </c>
      <c r="E269" s="94">
        <v>1.152605757852042E-2</v>
      </c>
    </row>
    <row r="270" spans="1:5">
      <c r="A270" s="36">
        <v>258</v>
      </c>
      <c r="B270">
        <v>8.9113246534481672</v>
      </c>
      <c r="C270" s="27">
        <v>8.9160373732031992</v>
      </c>
      <c r="D270" s="88">
        <f t="shared" si="4"/>
        <v>-1.2158816967982737</v>
      </c>
      <c r="E270" s="94">
        <v>1.1481382936743207E-2</v>
      </c>
    </row>
    <row r="271" spans="1:5">
      <c r="A271" s="36">
        <v>259</v>
      </c>
      <c r="B271">
        <v>8.9112725179986363</v>
      </c>
      <c r="C271" s="27">
        <v>8.9160373732031992</v>
      </c>
      <c r="D271" s="88">
        <f t="shared" si="4"/>
        <v>-1.2340974979818</v>
      </c>
      <c r="E271" s="94">
        <v>1.1437053272894779E-2</v>
      </c>
    </row>
    <row r="272" spans="1:5">
      <c r="A272" s="36">
        <v>260</v>
      </c>
      <c r="B272">
        <v>8.9112206290564764</v>
      </c>
      <c r="C272" s="27">
        <v>8.9160373732031992</v>
      </c>
      <c r="D272" s="88">
        <f t="shared" si="4"/>
        <v>-1.2523534781479384</v>
      </c>
      <c r="E272" s="94">
        <v>1.1393064606460569E-2</v>
      </c>
    </row>
    <row r="273" spans="1:5">
      <c r="A273" s="36">
        <v>261</v>
      </c>
      <c r="B273">
        <v>8.911168984673969</v>
      </c>
      <c r="C273" s="27">
        <v>8.9160373732031992</v>
      </c>
      <c r="D273" s="88">
        <f t="shared" si="4"/>
        <v>-1.2706494061290865</v>
      </c>
      <c r="E273" s="94">
        <v>1.1349413017930068E-2</v>
      </c>
    </row>
    <row r="274" spans="1:5">
      <c r="A274" s="36">
        <v>262</v>
      </c>
      <c r="B274">
        <v>8.9111175829059235</v>
      </c>
      <c r="C274" s="27">
        <v>8.9160373732031992</v>
      </c>
      <c r="D274" s="88">
        <f t="shared" si="4"/>
        <v>-1.2889850578862436</v>
      </c>
      <c r="E274" s="94">
        <v>1.1306094647632626E-2</v>
      </c>
    </row>
    <row r="275" spans="1:5">
      <c r="A275" s="36">
        <v>263</v>
      </c>
      <c r="B275">
        <v>8.9110664218472166</v>
      </c>
      <c r="C275" s="27">
        <v>8.9160373732031992</v>
      </c>
      <c r="D275" s="88">
        <f t="shared" si="4"/>
        <v>-1.307360206623418</v>
      </c>
      <c r="E275" s="94">
        <v>1.1263105694599802E-2</v>
      </c>
    </row>
    <row r="276" spans="1:5">
      <c r="A276" s="36">
        <v>264</v>
      </c>
      <c r="B276">
        <v>8.9110154996081228</v>
      </c>
      <c r="C276" s="27">
        <v>8.9160373732031992</v>
      </c>
      <c r="D276" s="88">
        <f t="shared" si="4"/>
        <v>-1.3257746291001808</v>
      </c>
      <c r="E276" s="94">
        <v>1.1220442415453591E-2</v>
      </c>
    </row>
    <row r="277" spans="1:5">
      <c r="A277" s="36">
        <v>265</v>
      </c>
      <c r="B277">
        <v>8.9109648143179889</v>
      </c>
      <c r="C277" s="27">
        <v>8.9160373732031992</v>
      </c>
      <c r="D277" s="88">
        <f t="shared" si="4"/>
        <v>-1.3442281045807292</v>
      </c>
      <c r="E277" s="94">
        <v>1.1178101123319802E-2</v>
      </c>
    </row>
    <row r="278" spans="1:5">
      <c r="A278" s="36">
        <v>266</v>
      </c>
      <c r="B278">
        <v>8.9109143641216058</v>
      </c>
      <c r="C278" s="27">
        <v>8.9160373732031992</v>
      </c>
      <c r="D278" s="88">
        <f t="shared" si="4"/>
        <v>-1.3627204157038619</v>
      </c>
      <c r="E278" s="94">
        <v>1.1136078186765968E-2</v>
      </c>
    </row>
    <row r="279" spans="1:5">
      <c r="A279" s="36">
        <v>267</v>
      </c>
      <c r="B279">
        <v>8.9108641471938324</v>
      </c>
      <c r="C279" s="27">
        <v>8.9160373732031992</v>
      </c>
      <c r="D279" s="88">
        <f t="shared" si="4"/>
        <v>-1.3812513445009547</v>
      </c>
      <c r="E279" s="94">
        <v>1.1094370028763101E-2</v>
      </c>
    </row>
    <row r="280" spans="1:5">
      <c r="A280" s="36">
        <v>268</v>
      </c>
      <c r="B280">
        <v>8.9108141617247405</v>
      </c>
      <c r="C280" s="27">
        <v>8.9160373732031992</v>
      </c>
      <c r="D280" s="88">
        <f t="shared" si="4"/>
        <v>-1.3998206762269376</v>
      </c>
      <c r="E280" s="94">
        <v>1.10529731256707E-2</v>
      </c>
    </row>
    <row r="281" spans="1:5">
      <c r="A281" s="36">
        <v>269</v>
      </c>
      <c r="B281">
        <v>8.910764405921757</v>
      </c>
      <c r="C281" s="27">
        <v>8.9160373732031992</v>
      </c>
      <c r="D281" s="88">
        <f t="shared" si="4"/>
        <v>-1.4184281987079572</v>
      </c>
      <c r="E281" s="94">
        <v>1.1011884006244414E-2</v>
      </c>
    </row>
    <row r="282" spans="1:5">
      <c r="A282" s="36">
        <v>270</v>
      </c>
      <c r="B282">
        <v>8.9107148780146712</v>
      </c>
      <c r="C282" s="27">
        <v>8.9160373732031992</v>
      </c>
      <c r="D282" s="88">
        <f t="shared" si="4"/>
        <v>-1.4370737009025625</v>
      </c>
      <c r="E282" s="94">
        <v>1.0971099250665733E-2</v>
      </c>
    </row>
    <row r="283" spans="1:5">
      <c r="A283" s="36">
        <v>271</v>
      </c>
      <c r="B283">
        <v>8.9106655762424474</v>
      </c>
      <c r="C283" s="27">
        <v>8.9160373732031992</v>
      </c>
      <c r="D283" s="88">
        <f t="shared" si="4"/>
        <v>-1.4557569763637517</v>
      </c>
      <c r="E283" s="94">
        <v>1.0930615489593164E-2</v>
      </c>
    </row>
    <row r="284" spans="1:5">
      <c r="A284" s="36">
        <v>272</v>
      </c>
      <c r="B284">
        <v>8.9106164988897198</v>
      </c>
      <c r="C284" s="27">
        <v>8.9160373732031992</v>
      </c>
      <c r="D284" s="88">
        <f t="shared" si="4"/>
        <v>-1.4744778132663896</v>
      </c>
      <c r="E284" s="94">
        <v>1.0890429403234366E-2</v>
      </c>
    </row>
    <row r="285" spans="1:5">
      <c r="A285" s="36">
        <v>273</v>
      </c>
      <c r="B285">
        <v>8.9105676442242832</v>
      </c>
      <c r="C285" s="27">
        <v>8.9160373732031992</v>
      </c>
      <c r="D285" s="88">
        <f t="shared" si="4"/>
        <v>-1.4932360112440861</v>
      </c>
      <c r="E285" s="94">
        <v>1.0850537720438636E-2</v>
      </c>
    </row>
    <row r="286" spans="1:5">
      <c r="A286" s="36">
        <v>274</v>
      </c>
      <c r="B286">
        <v>8.9105190105562979</v>
      </c>
      <c r="C286" s="27">
        <v>8.9160373732031992</v>
      </c>
      <c r="D286" s="88">
        <f t="shared" si="4"/>
        <v>-1.5120313652509587</v>
      </c>
      <c r="E286" s="94">
        <v>1.0810937217809298E-2</v>
      </c>
    </row>
    <row r="287" spans="1:5">
      <c r="A287" s="36">
        <v>275</v>
      </c>
      <c r="B287">
        <v>8.9104705962035045</v>
      </c>
      <c r="C287" s="27">
        <v>8.9160373732031992</v>
      </c>
      <c r="D287" s="88">
        <f t="shared" si="4"/>
        <v>-1.5308636749160609</v>
      </c>
      <c r="E287" s="94">
        <v>1.0771624718835445E-2</v>
      </c>
    </row>
    <row r="288" spans="1:5">
      <c r="A288" s="36">
        <v>276</v>
      </c>
      <c r="B288">
        <v>8.910422399514573</v>
      </c>
      <c r="C288" s="27">
        <v>8.9160373732031992</v>
      </c>
      <c r="D288" s="88">
        <f t="shared" si="4"/>
        <v>-1.5497327380608255</v>
      </c>
      <c r="E288" s="94">
        <v>1.0732597093042565E-2</v>
      </c>
    </row>
    <row r="289" spans="1:5">
      <c r="A289" s="36">
        <v>277</v>
      </c>
      <c r="B289">
        <v>8.910374418834822</v>
      </c>
      <c r="C289" s="27">
        <v>8.9160373732031992</v>
      </c>
      <c r="D289" s="88">
        <f t="shared" si="4"/>
        <v>-1.5686383600405041</v>
      </c>
      <c r="E289" s="94">
        <v>1.0693851255161544E-2</v>
      </c>
    </row>
    <row r="290" spans="1:5">
      <c r="A290" s="36">
        <v>278</v>
      </c>
      <c r="B290">
        <v>8.9103266525416505</v>
      </c>
      <c r="C290" s="27">
        <v>8.9160373732031992</v>
      </c>
      <c r="D290" s="88">
        <f t="shared" si="4"/>
        <v>-1.587580343910556</v>
      </c>
      <c r="E290" s="94">
        <v>1.065538416431564E-2</v>
      </c>
    </row>
    <row r="291" spans="1:5">
      <c r="A291" s="36">
        <v>279</v>
      </c>
      <c r="B291">
        <v>8.9102790990303102</v>
      </c>
      <c r="C291" s="27">
        <v>8.9160373732031992</v>
      </c>
      <c r="D291" s="88">
        <f t="shared" si="4"/>
        <v>-1.6065584942360278</v>
      </c>
      <c r="E291" s="94">
        <v>1.0617192823224901E-2</v>
      </c>
    </row>
    <row r="292" spans="1:5">
      <c r="A292" s="36">
        <v>280</v>
      </c>
      <c r="B292">
        <v>8.9102317566996838</v>
      </c>
      <c r="C292" s="27">
        <v>8.9160373732031992</v>
      </c>
      <c r="D292" s="88">
        <f t="shared" si="4"/>
        <v>-1.6255726209843147</v>
      </c>
      <c r="E292" s="94">
        <v>1.0579274277427671E-2</v>
      </c>
    </row>
    <row r="293" spans="1:5">
      <c r="A293" s="36">
        <v>281</v>
      </c>
      <c r="B293">
        <v>8.9101846239838753</v>
      </c>
      <c r="C293" s="27">
        <v>8.9160373732031992</v>
      </c>
      <c r="D293" s="88">
        <f t="shared" si="4"/>
        <v>-1.6446225306300111</v>
      </c>
      <c r="E293" s="94">
        <v>1.0541625614518674E-2</v>
      </c>
    </row>
    <row r="294" spans="1:5">
      <c r="A294" s="36">
        <v>282</v>
      </c>
      <c r="B294">
        <v>8.9101376993124219</v>
      </c>
      <c r="C294" s="27">
        <v>8.9160373732031992</v>
      </c>
      <c r="D294" s="88">
        <f t="shared" si="4"/>
        <v>-1.6637080371991928</v>
      </c>
      <c r="E294" s="94">
        <v>1.050424396340336E-2</v>
      </c>
    </row>
    <row r="295" spans="1:5">
      <c r="A295" s="36">
        <v>283</v>
      </c>
      <c r="B295">
        <v>8.9100909811542408</v>
      </c>
      <c r="C295" s="27">
        <v>8.9160373732031992</v>
      </c>
      <c r="D295" s="88">
        <f t="shared" si="4"/>
        <v>-1.6828289498552316</v>
      </c>
      <c r="E295" s="94">
        <v>1.0467126493568013E-2</v>
      </c>
    </row>
    <row r="296" spans="1:5">
      <c r="A296" s="36">
        <v>284</v>
      </c>
      <c r="B296">
        <v>8.9100444679711686</v>
      </c>
      <c r="C296" s="27">
        <v>8.9160373732031992</v>
      </c>
      <c r="D296" s="88">
        <f t="shared" si="4"/>
        <v>-1.7019850858967089</v>
      </c>
      <c r="E296" s="94">
        <v>1.043027041436531E-2</v>
      </c>
    </row>
    <row r="297" spans="1:5">
      <c r="A297" s="36">
        <v>285</v>
      </c>
      <c r="B297">
        <v>8.9099981582631873</v>
      </c>
      <c r="C297" s="27">
        <v>8.9160373732031992</v>
      </c>
      <c r="D297" s="88">
        <f t="shared" si="4"/>
        <v>-1.7211762579033962</v>
      </c>
      <c r="E297" s="94">
        <v>1.0393672974314904E-2</v>
      </c>
    </row>
    <row r="298" spans="1:5">
      <c r="A298" s="36">
        <v>286</v>
      </c>
      <c r="B298">
        <v>8.9099520505237439</v>
      </c>
      <c r="C298" s="27">
        <v>8.9160373732031992</v>
      </c>
      <c r="D298" s="88">
        <f t="shared" si="4"/>
        <v>-1.7404022863242083</v>
      </c>
      <c r="E298" s="94">
        <v>1.0357331460418699E-2</v>
      </c>
    </row>
    <row r="299" spans="1:5">
      <c r="A299" s="36">
        <v>287</v>
      </c>
      <c r="B299">
        <v>8.9099061432749682</v>
      </c>
      <c r="C299" s="27">
        <v>8.9160373732031992</v>
      </c>
      <c r="D299" s="88">
        <f t="shared" si="4"/>
        <v>-1.7596629894022993</v>
      </c>
      <c r="E299" s="94">
        <v>1.032124319749041E-2</v>
      </c>
    </row>
    <row r="300" spans="1:5">
      <c r="A300" s="36">
        <v>288</v>
      </c>
      <c r="B300">
        <v>8.9098604350545187</v>
      </c>
      <c r="C300" s="27">
        <v>8.9160373732031992</v>
      </c>
      <c r="D300" s="88">
        <f t="shared" si="4"/>
        <v>-1.7789581868199775</v>
      </c>
      <c r="E300" s="94">
        <v>1.0285405547499123E-2</v>
      </c>
    </row>
    <row r="301" spans="1:5">
      <c r="A301" s="36">
        <v>289</v>
      </c>
      <c r="B301">
        <v>8.9098149244136202</v>
      </c>
      <c r="C301" s="27">
        <v>8.9160373732031992</v>
      </c>
      <c r="D301" s="88">
        <f t="shared" si="4"/>
        <v>-1.7982877001883324</v>
      </c>
      <c r="E301" s="94">
        <v>1.0249815908926463E-2</v>
      </c>
    </row>
    <row r="302" spans="1:5">
      <c r="A302" s="36">
        <v>290</v>
      </c>
      <c r="B302">
        <v>8.9097696099107448</v>
      </c>
      <c r="C302" s="27">
        <v>8.9160373732031992</v>
      </c>
      <c r="D302" s="88">
        <f t="shared" si="4"/>
        <v>-1.817651354811769</v>
      </c>
      <c r="E302" s="94">
        <v>1.021447171613706E-2</v>
      </c>
    </row>
    <row r="303" spans="1:5">
      <c r="A303" s="36">
        <v>291</v>
      </c>
      <c r="B303">
        <v>8.9097244901264716</v>
      </c>
      <c r="C303" s="27">
        <v>8.9160373732031992</v>
      </c>
      <c r="D303" s="88">
        <f t="shared" si="4"/>
        <v>-1.8370489753277361</v>
      </c>
      <c r="E303" s="94">
        <v>1.017937043876202E-2</v>
      </c>
    </row>
    <row r="304" spans="1:5">
      <c r="A304" s="36">
        <v>292</v>
      </c>
      <c r="B304">
        <v>8.9096795636523449</v>
      </c>
      <c r="C304" s="27">
        <v>8.9160373732031992</v>
      </c>
      <c r="D304" s="88">
        <f t="shared" si="4"/>
        <v>-1.8564803888494552</v>
      </c>
      <c r="E304" s="94">
        <v>1.0144509581095026E-2</v>
      </c>
    </row>
    <row r="305" spans="1:5">
      <c r="A305" s="36">
        <v>293</v>
      </c>
      <c r="B305">
        <v>8.9096348291067144</v>
      </c>
      <c r="C305" s="27">
        <v>8.9160373732031992</v>
      </c>
      <c r="D305" s="88">
        <f t="shared" ref="D305:D368" si="5">(B305-C305)*A305</f>
        <v>-1.875945420270039</v>
      </c>
      <c r="E305" s="94">
        <v>1.0109886681500846E-2</v>
      </c>
    </row>
    <row r="306" spans="1:5">
      <c r="A306" s="36">
        <v>294</v>
      </c>
      <c r="B306">
        <v>8.9095902850920368</v>
      </c>
      <c r="C306" s="27">
        <v>8.9160373732031992</v>
      </c>
      <c r="D306" s="88">
        <f t="shared" si="5"/>
        <v>-1.8954439046817626</v>
      </c>
      <c r="E306" s="94">
        <v>1.0075499311835876E-2</v>
      </c>
    </row>
    <row r="307" spans="1:5">
      <c r="A307" s="36">
        <v>295</v>
      </c>
      <c r="B307">
        <v>8.9096626959188789</v>
      </c>
      <c r="C307" s="27">
        <v>8.9160373732031992</v>
      </c>
      <c r="D307" s="88">
        <f t="shared" si="5"/>
        <v>-1.880529798874484</v>
      </c>
      <c r="E307" s="94">
        <v>1.00413450768805E-2</v>
      </c>
    </row>
    <row r="308" spans="1:5">
      <c r="A308" s="36">
        <v>296</v>
      </c>
      <c r="B308">
        <v>8.9097486645893618</v>
      </c>
      <c r="C308" s="27">
        <v>8.9160373732031992</v>
      </c>
      <c r="D308" s="88">
        <f t="shared" si="5"/>
        <v>-1.8614577496958873</v>
      </c>
      <c r="E308" s="94">
        <v>1.0007421613782933E-2</v>
      </c>
    </row>
    <row r="309" spans="1:5">
      <c r="A309" s="36">
        <v>297</v>
      </c>
      <c r="B309">
        <v>8.9098337365998859</v>
      </c>
      <c r="C309" s="27">
        <v>8.9160373732031992</v>
      </c>
      <c r="D309" s="88">
        <f t="shared" si="5"/>
        <v>-1.8424800711840668</v>
      </c>
      <c r="E309" s="94">
        <v>9.9737265915143015E-3</v>
      </c>
    </row>
    <row r="310" spans="1:5">
      <c r="A310" s="36">
        <v>298</v>
      </c>
      <c r="B310">
        <v>8.9099179225015543</v>
      </c>
      <c r="C310" s="27">
        <v>8.9160373732031992</v>
      </c>
      <c r="D310" s="88">
        <f t="shared" si="5"/>
        <v>-1.8235963090901741</v>
      </c>
      <c r="E310" s="94">
        <v>9.9402577103347243E-3</v>
      </c>
    </row>
    <row r="311" spans="1:5">
      <c r="A311" s="36">
        <v>299</v>
      </c>
      <c r="B311">
        <v>8.9100012326907354</v>
      </c>
      <c r="C311" s="27">
        <v>8.9160373732031992</v>
      </c>
      <c r="D311" s="88">
        <f t="shared" si="5"/>
        <v>-1.8048060132266812</v>
      </c>
      <c r="E311" s="94">
        <v>9.9070127012700591E-3</v>
      </c>
    </row>
    <row r="312" spans="1:5">
      <c r="A312" s="36">
        <v>300</v>
      </c>
      <c r="B312">
        <v>8.9100836774150061</v>
      </c>
      <c r="C312" s="27">
        <v>8.9160373732031992</v>
      </c>
      <c r="D312" s="88">
        <f t="shared" si="5"/>
        <v>-1.7861087364579475</v>
      </c>
      <c r="E312" s="94">
        <v>9.8739893255991602E-3</v>
      </c>
    </row>
    <row r="313" spans="1:5">
      <c r="A313" s="36">
        <v>301</v>
      </c>
      <c r="B313">
        <v>8.910165266758316</v>
      </c>
      <c r="C313" s="27">
        <v>8.9160373732031992</v>
      </c>
      <c r="D313" s="88">
        <f t="shared" si="5"/>
        <v>-1.7675040399098521</v>
      </c>
      <c r="E313" s="94">
        <v>9.8411853743513213E-3</v>
      </c>
    </row>
    <row r="314" spans="1:5">
      <c r="A314" s="36">
        <v>302</v>
      </c>
      <c r="B314">
        <v>8.9102460106834265</v>
      </c>
      <c r="C314" s="27">
        <v>8.9160373732031992</v>
      </c>
      <c r="D314" s="88">
        <f t="shared" si="5"/>
        <v>-1.7489914809713696</v>
      </c>
      <c r="E314" s="94">
        <v>9.8085986678137348E-3</v>
      </c>
    </row>
    <row r="315" spans="1:5">
      <c r="A315" s="36">
        <v>303</v>
      </c>
      <c r="B315">
        <v>8.9103259189906492</v>
      </c>
      <c r="C315" s="27">
        <v>8.9160373732031992</v>
      </c>
      <c r="D315" s="88">
        <f t="shared" si="5"/>
        <v>-1.7305706264026615</v>
      </c>
      <c r="E315" s="94">
        <v>9.7762270550486724E-3</v>
      </c>
    </row>
    <row r="316" spans="1:5">
      <c r="A316" s="36">
        <v>304</v>
      </c>
      <c r="B316">
        <v>8.9104050013542242</v>
      </c>
      <c r="C316" s="27">
        <v>8.9160373732031992</v>
      </c>
      <c r="D316" s="88">
        <f t="shared" si="5"/>
        <v>-1.712241042088408</v>
      </c>
      <c r="E316" s="94">
        <v>9.7440684134202232E-3</v>
      </c>
    </row>
    <row r="317" spans="1:5">
      <c r="A317" s="36">
        <v>305</v>
      </c>
      <c r="B317">
        <v>8.9104832672944561</v>
      </c>
      <c r="C317" s="27">
        <v>8.9160373732031992</v>
      </c>
      <c r="D317" s="88">
        <f t="shared" si="5"/>
        <v>-1.6940023021666661</v>
      </c>
      <c r="E317" s="94">
        <v>9.7121206481303197E-3</v>
      </c>
    </row>
    <row r="318" spans="1:5">
      <c r="A318" s="36">
        <v>306</v>
      </c>
      <c r="B318">
        <v>8.9105607262086224</v>
      </c>
      <c r="C318" s="27">
        <v>8.9160373732031992</v>
      </c>
      <c r="D318" s="88">
        <f t="shared" si="5"/>
        <v>-1.6758539803405128</v>
      </c>
      <c r="E318" s="94">
        <v>9.6803816917638823E-3</v>
      </c>
    </row>
    <row r="319" spans="1:5">
      <c r="A319" s="36">
        <v>307</v>
      </c>
      <c r="B319">
        <v>8.9106373873683218</v>
      </c>
      <c r="C319" s="27">
        <v>8.9160373732031992</v>
      </c>
      <c r="D319" s="88">
        <f t="shared" si="5"/>
        <v>-1.6577956513073744</v>
      </c>
      <c r="E319" s="94">
        <v>9.6488495038428278E-3</v>
      </c>
    </row>
    <row r="320" spans="1:5">
      <c r="A320" s="36">
        <v>308</v>
      </c>
      <c r="B320">
        <v>8.9107132598881851</v>
      </c>
      <c r="C320" s="27">
        <v>8.9160373732031992</v>
      </c>
      <c r="D320" s="88">
        <f t="shared" si="5"/>
        <v>-1.6398269010243567</v>
      </c>
      <c r="E320" s="94">
        <v>9.6175220703887919E-3</v>
      </c>
    </row>
    <row r="321" spans="1:5">
      <c r="A321" s="36">
        <v>309</v>
      </c>
      <c r="B321">
        <v>8.9107883527842624</v>
      </c>
      <c r="C321" s="27">
        <v>8.9160373732031992</v>
      </c>
      <c r="D321" s="88">
        <f t="shared" si="5"/>
        <v>-1.6219473094514782</v>
      </c>
      <c r="E321" s="94">
        <v>9.5863974034943299E-3</v>
      </c>
    </row>
    <row r="322" spans="1:5">
      <c r="A322" s="36">
        <v>310</v>
      </c>
      <c r="B322">
        <v>8.9108626749184303</v>
      </c>
      <c r="C322" s="27">
        <v>8.9160373732031992</v>
      </c>
      <c r="D322" s="88">
        <f t="shared" si="5"/>
        <v>-1.6041564682783616</v>
      </c>
      <c r="E322" s="94">
        <v>9.5554735409024132E-3</v>
      </c>
    </row>
    <row r="323" spans="1:5">
      <c r="A323" s="36">
        <v>311</v>
      </c>
      <c r="B323">
        <v>8.9109362350568659</v>
      </c>
      <c r="C323" s="27">
        <v>8.9160373732031992</v>
      </c>
      <c r="D323" s="88">
        <f t="shared" si="5"/>
        <v>-1.5864539635096513</v>
      </c>
      <c r="E323" s="94">
        <v>9.5247485455940435E-3</v>
      </c>
    </row>
    <row r="324" spans="1:5">
      <c r="A324" s="36">
        <v>312</v>
      </c>
      <c r="B324">
        <v>8.9110090418139372</v>
      </c>
      <c r="C324" s="27">
        <v>8.9160373732031992</v>
      </c>
      <c r="D324" s="88">
        <f t="shared" si="5"/>
        <v>-1.568839393449764</v>
      </c>
      <c r="E324" s="94">
        <v>9.4942205053838054E-3</v>
      </c>
    </row>
    <row r="325" spans="1:5">
      <c r="A325" s="36">
        <v>313</v>
      </c>
      <c r="B325">
        <v>8.9110811037099857</v>
      </c>
      <c r="C325" s="27">
        <v>8.9160373732031992</v>
      </c>
      <c r="D325" s="88">
        <f t="shared" si="5"/>
        <v>-1.5513123513758202</v>
      </c>
      <c r="E325" s="94">
        <v>9.4638875325231565E-3</v>
      </c>
    </row>
    <row r="326" spans="1:5">
      <c r="A326" s="36">
        <v>314</v>
      </c>
      <c r="B326">
        <v>8.9111524291291992</v>
      </c>
      <c r="C326" s="27">
        <v>8.9160373732031992</v>
      </c>
      <c r="D326" s="88">
        <f t="shared" si="5"/>
        <v>-1.5338724392359921</v>
      </c>
      <c r="E326" s="94">
        <v>9.4337477633112989E-3</v>
      </c>
    </row>
    <row r="327" spans="1:5">
      <c r="A327" s="36">
        <v>315</v>
      </c>
      <c r="B327">
        <v>8.9112230263449845</v>
      </c>
      <c r="C327" s="27">
        <v>8.9160373732031992</v>
      </c>
      <c r="D327" s="88">
        <f t="shared" si="5"/>
        <v>-1.5165192603376276</v>
      </c>
      <c r="E327" s="94">
        <v>9.4037993577134847E-3</v>
      </c>
    </row>
    <row r="328" spans="1:5">
      <c r="A328" s="36">
        <v>316</v>
      </c>
      <c r="B328">
        <v>8.9112929035233961</v>
      </c>
      <c r="C328" s="27">
        <v>8.9160373732031992</v>
      </c>
      <c r="D328" s="88">
        <f t="shared" si="5"/>
        <v>-1.4992524188177896</v>
      </c>
      <c r="E328" s="94">
        <v>9.3740404989865449E-3</v>
      </c>
    </row>
    <row r="329" spans="1:5">
      <c r="A329" s="36">
        <v>317</v>
      </c>
      <c r="B329">
        <v>8.9113620687131085</v>
      </c>
      <c r="C329" s="27">
        <v>8.9160373732031992</v>
      </c>
      <c r="D329" s="88">
        <f t="shared" si="5"/>
        <v>-1.482071523358746</v>
      </c>
      <c r="E329" s="94">
        <v>9.3444693933115077E-3</v>
      </c>
    </row>
    <row r="330" spans="1:5">
      <c r="A330" s="36">
        <v>318</v>
      </c>
      <c r="B330">
        <v>8.9114305298425709</v>
      </c>
      <c r="C330" s="27">
        <v>8.9160373732031992</v>
      </c>
      <c r="D330" s="88">
        <f t="shared" si="5"/>
        <v>-1.4649761886798096</v>
      </c>
      <c r="E330" s="94">
        <v>9.3150842694331697E-3</v>
      </c>
    </row>
    <row r="331" spans="1:5">
      <c r="A331" s="36">
        <v>319</v>
      </c>
      <c r="B331">
        <v>8.9114982947525938</v>
      </c>
      <c r="C331" s="27">
        <v>8.9160373732031992</v>
      </c>
      <c r="D331" s="88">
        <f t="shared" si="5"/>
        <v>-1.4479660257431277</v>
      </c>
      <c r="E331" s="94">
        <v>9.2858833783064192E-3</v>
      </c>
    </row>
    <row r="332" spans="1:5">
      <c r="A332" s="36">
        <v>320</v>
      </c>
      <c r="B332">
        <v>8.911565371159373</v>
      </c>
      <c r="C332" s="27">
        <v>8.9160373732031992</v>
      </c>
      <c r="D332" s="88">
        <f t="shared" si="5"/>
        <v>-1.4310406540244003</v>
      </c>
      <c r="E332" s="94">
        <v>9.256864992749211E-3</v>
      </c>
    </row>
    <row r="333" spans="1:5">
      <c r="A333" s="36">
        <v>321</v>
      </c>
      <c r="B333">
        <v>8.911631766673592</v>
      </c>
      <c r="C333" s="27">
        <v>8.9160373732031992</v>
      </c>
      <c r="D333" s="88">
        <f t="shared" si="5"/>
        <v>-1.4141996960039105</v>
      </c>
      <c r="E333" s="94">
        <v>9.2280274071020168E-3</v>
      </c>
    </row>
    <row r="334" spans="1:5">
      <c r="A334" s="36">
        <v>322</v>
      </c>
      <c r="B334">
        <v>8.9116974888207228</v>
      </c>
      <c r="C334" s="27">
        <v>8.9160373732031992</v>
      </c>
      <c r="D334" s="88">
        <f t="shared" si="5"/>
        <v>-1.3974427711574187</v>
      </c>
      <c r="E334" s="94">
        <v>9.1993689368936246E-3</v>
      </c>
    </row>
    <row r="335" spans="1:5">
      <c r="A335" s="36">
        <v>323</v>
      </c>
      <c r="B335">
        <v>8.9117625450108768</v>
      </c>
      <c r="C335" s="27">
        <v>8.9160373732031992</v>
      </c>
      <c r="D335" s="88">
        <f t="shared" si="5"/>
        <v>-1.3807695061201315</v>
      </c>
      <c r="E335" s="94">
        <v>9.1708879185131518E-3</v>
      </c>
    </row>
    <row r="336" spans="1:5">
      <c r="A336" s="36">
        <v>324</v>
      </c>
      <c r="B336">
        <v>8.9118269425500554</v>
      </c>
      <c r="C336" s="27">
        <v>8.9160373732031992</v>
      </c>
      <c r="D336" s="88">
        <f t="shared" si="5"/>
        <v>-1.3641795316186105</v>
      </c>
      <c r="E336" s="94">
        <v>9.1425827088881095E-3</v>
      </c>
    </row>
    <row r="337" spans="1:5">
      <c r="A337" s="36">
        <v>325</v>
      </c>
      <c r="B337">
        <v>8.9118906886522744</v>
      </c>
      <c r="C337" s="27">
        <v>8.9160373732031992</v>
      </c>
      <c r="D337" s="88">
        <f t="shared" si="5"/>
        <v>-1.3476724790505656</v>
      </c>
      <c r="E337" s="94">
        <v>9.1144516851684541E-3</v>
      </c>
    </row>
    <row r="338" spans="1:5">
      <c r="A338" s="36">
        <v>326</v>
      </c>
      <c r="B338">
        <v>8.9119537904433095</v>
      </c>
      <c r="C338" s="27">
        <v>8.9160373732031992</v>
      </c>
      <c r="D338" s="88">
        <f t="shared" si="5"/>
        <v>-1.3312479797240542</v>
      </c>
      <c r="E338" s="94">
        <v>9.0864932444164048E-3</v>
      </c>
    </row>
    <row r="339" spans="1:5">
      <c r="A339" s="36">
        <v>327</v>
      </c>
      <c r="B339">
        <v>8.9120162549387825</v>
      </c>
      <c r="C339" s="27">
        <v>8.9160373732031992</v>
      </c>
      <c r="D339" s="88">
        <f t="shared" si="5"/>
        <v>-1.3149056724642794</v>
      </c>
      <c r="E339" s="94">
        <v>9.0587058033019825E-3</v>
      </c>
    </row>
    <row r="340" spans="1:5">
      <c r="A340" s="36">
        <v>328</v>
      </c>
      <c r="B340">
        <v>8.9120780890668581</v>
      </c>
      <c r="C340" s="27">
        <v>8.9160373732031992</v>
      </c>
      <c r="D340" s="88">
        <f t="shared" si="5"/>
        <v>-1.2986451967199031</v>
      </c>
      <c r="E340" s="94">
        <v>9.0310877978041094E-3</v>
      </c>
    </row>
    <row r="341" spans="1:5">
      <c r="A341" s="36">
        <v>329</v>
      </c>
      <c r="B341">
        <v>8.9121392996593229</v>
      </c>
      <c r="C341" s="27">
        <v>8.9160373732031992</v>
      </c>
      <c r="D341" s="88">
        <f t="shared" si="5"/>
        <v>-1.2824661959352959</v>
      </c>
      <c r="E341" s="94">
        <v>9.0036376829171656E-3</v>
      </c>
    </row>
    <row r="342" spans="1:5">
      <c r="A342" s="36">
        <v>330</v>
      </c>
      <c r="B342">
        <v>8.9121998934726356</v>
      </c>
      <c r="C342" s="27">
        <v>8.9160373732031992</v>
      </c>
      <c r="D342" s="88">
        <f t="shared" si="5"/>
        <v>-1.2663683110859836</v>
      </c>
      <c r="E342" s="94">
        <v>8.9763539323628721E-3</v>
      </c>
    </row>
    <row r="343" spans="1:5">
      <c r="A343" s="36">
        <v>331</v>
      </c>
      <c r="B343">
        <v>8.9122598771519925</v>
      </c>
      <c r="C343" s="27">
        <v>8.9160373732031992</v>
      </c>
      <c r="D343" s="88">
        <f t="shared" si="5"/>
        <v>-1.2503511929494167</v>
      </c>
      <c r="E343" s="94">
        <v>8.9492350383073953E-3</v>
      </c>
    </row>
    <row r="344" spans="1:5">
      <c r="A344" s="36">
        <v>332</v>
      </c>
      <c r="B344">
        <v>8.912319257272431</v>
      </c>
      <c r="C344" s="27">
        <v>8.9160373732031992</v>
      </c>
      <c r="D344" s="88">
        <f t="shared" si="5"/>
        <v>-1.2344144890150446</v>
      </c>
      <c r="E344" s="94">
        <v>8.9222795110835782E-3</v>
      </c>
    </row>
    <row r="345" spans="1:5">
      <c r="A345" s="36">
        <v>333</v>
      </c>
      <c r="B345">
        <v>8.912378040313147</v>
      </c>
      <c r="C345" s="27">
        <v>8.9160373732031992</v>
      </c>
      <c r="D345" s="88">
        <f t="shared" si="5"/>
        <v>-1.2185578523874057</v>
      </c>
      <c r="E345" s="94">
        <v>8.8954858789181621E-3</v>
      </c>
    </row>
    <row r="346" spans="1:5">
      <c r="A346" s="36">
        <v>334</v>
      </c>
      <c r="B346">
        <v>8.9124362326755477</v>
      </c>
      <c r="C346" s="27">
        <v>8.9160373732031992</v>
      </c>
      <c r="D346" s="88">
        <f t="shared" si="5"/>
        <v>-1.2027809362355946</v>
      </c>
      <c r="E346" s="94">
        <v>8.8688526876639154E-3</v>
      </c>
    </row>
    <row r="347" spans="1:5">
      <c r="A347" s="36">
        <v>335</v>
      </c>
      <c r="B347">
        <v>8.9124938406646113</v>
      </c>
      <c r="C347" s="27">
        <v>8.9160373732031992</v>
      </c>
      <c r="D347" s="88">
        <f t="shared" si="5"/>
        <v>-1.1870834004269692</v>
      </c>
      <c r="E347" s="94">
        <v>8.8423785005365615E-3</v>
      </c>
    </row>
    <row r="348" spans="1:5">
      <c r="A348" s="36">
        <v>336</v>
      </c>
      <c r="B348">
        <v>8.912550870513865</v>
      </c>
      <c r="C348" s="27">
        <v>8.9160373732031992</v>
      </c>
      <c r="D348" s="88">
        <f t="shared" si="5"/>
        <v>-1.1714649036163109</v>
      </c>
      <c r="E348" s="94">
        <v>8.8160618978563917E-3</v>
      </c>
    </row>
    <row r="349" spans="1:5">
      <c r="A349" s="36">
        <v>337</v>
      </c>
      <c r="B349">
        <v>8.9126073283721858</v>
      </c>
      <c r="C349" s="27">
        <v>8.9160373732031992</v>
      </c>
      <c r="D349" s="88">
        <f t="shared" si="5"/>
        <v>-1.1559251080515125</v>
      </c>
      <c r="E349" s="94">
        <v>8.7899014767945042E-3</v>
      </c>
    </row>
    <row r="350" spans="1:5">
      <c r="A350" s="36">
        <v>338</v>
      </c>
      <c r="B350">
        <v>8.9126632203101188</v>
      </c>
      <c r="C350" s="27">
        <v>8.9160373732031992</v>
      </c>
      <c r="D350" s="88">
        <f t="shared" si="5"/>
        <v>-1.1404636778611774</v>
      </c>
      <c r="E350" s="94">
        <v>8.7638958511235144E-3</v>
      </c>
    </row>
    <row r="351" spans="1:5">
      <c r="A351" s="36">
        <v>339</v>
      </c>
      <c r="B351">
        <v>8.9127185523220014</v>
      </c>
      <c r="C351" s="27">
        <v>8.9160373732031992</v>
      </c>
      <c r="D351" s="88">
        <f t="shared" si="5"/>
        <v>-1.1250802787260668</v>
      </c>
      <c r="E351" s="94">
        <v>8.7380436509727072E-3</v>
      </c>
    </row>
    <row r="352" spans="1:5">
      <c r="A352" s="36">
        <v>340</v>
      </c>
      <c r="B352">
        <v>8.9127733303172594</v>
      </c>
      <c r="C352" s="27">
        <v>8.9160373732031992</v>
      </c>
      <c r="D352" s="88">
        <f t="shared" si="5"/>
        <v>-1.109774581219547</v>
      </c>
      <c r="E352" s="94">
        <v>8.7123435225874932E-3</v>
      </c>
    </row>
    <row r="353" spans="1:5">
      <c r="A353" s="36">
        <v>341</v>
      </c>
      <c r="B353">
        <v>8.9128275601308609</v>
      </c>
      <c r="C353" s="27">
        <v>8.9160373732031992</v>
      </c>
      <c r="D353" s="88">
        <f t="shared" si="5"/>
        <v>-1.0945462576673819</v>
      </c>
      <c r="E353" s="94">
        <v>8.6867941280931015E-3</v>
      </c>
    </row>
    <row r="354" spans="1:5">
      <c r="A354" s="36">
        <v>342</v>
      </c>
      <c r="B354">
        <v>8.9128812475323951</v>
      </c>
      <c r="C354" s="27">
        <v>8.9160373732031992</v>
      </c>
      <c r="D354" s="88">
        <f t="shared" si="5"/>
        <v>-1.0793949794150173</v>
      </c>
      <c r="E354" s="94">
        <v>8.6613941452624195E-3</v>
      </c>
    </row>
    <row r="355" spans="1:5">
      <c r="A355" s="36">
        <v>343</v>
      </c>
      <c r="B355">
        <v>8.9129343982056124</v>
      </c>
      <c r="C355" s="27">
        <v>8.9160373732031992</v>
      </c>
      <c r="D355" s="88">
        <f t="shared" si="5"/>
        <v>-1.0643204241722817</v>
      </c>
      <c r="E355" s="94">
        <v>8.6361422672878926E-3</v>
      </c>
    </row>
    <row r="356" spans="1:5">
      <c r="A356" s="36">
        <v>344</v>
      </c>
      <c r="B356">
        <v>8.9129870177718882</v>
      </c>
      <c r="C356" s="27">
        <v>8.9160373732031992</v>
      </c>
      <c r="D356" s="88">
        <f t="shared" si="5"/>
        <v>-1.0493222683710002</v>
      </c>
      <c r="E356" s="94">
        <v>8.6110372025574068E-3</v>
      </c>
    </row>
    <row r="357" spans="1:5">
      <c r="A357" s="36">
        <v>345</v>
      </c>
      <c r="B357">
        <v>8.9130391117704022</v>
      </c>
      <c r="C357" s="27">
        <v>8.9160373732031992</v>
      </c>
      <c r="D357" s="88">
        <f t="shared" si="5"/>
        <v>-1.0344001943149728</v>
      </c>
      <c r="E357" s="94">
        <v>8.5860776744340513E-3</v>
      </c>
    </row>
    <row r="358" spans="1:5">
      <c r="A358" s="36">
        <v>346</v>
      </c>
      <c r="B358">
        <v>8.9130906856706158</v>
      </c>
      <c r="C358" s="27">
        <v>8.9160373732031992</v>
      </c>
      <c r="D358" s="88">
        <f t="shared" si="5"/>
        <v>-1.0195538862738651</v>
      </c>
      <c r="E358" s="94">
        <v>8.5612624210397326E-3</v>
      </c>
    </row>
    <row r="359" spans="1:5">
      <c r="A359" s="36">
        <v>347</v>
      </c>
      <c r="B359">
        <v>8.9131417448935029</v>
      </c>
      <c r="C359" s="27">
        <v>8.9160373732031992</v>
      </c>
      <c r="D359" s="88">
        <f t="shared" si="5"/>
        <v>-1.004783023464638</v>
      </c>
      <c r="E359" s="94">
        <v>8.5365901950424997E-3</v>
      </c>
    </row>
    <row r="360" spans="1:5">
      <c r="A360" s="36">
        <v>348</v>
      </c>
      <c r="B360">
        <v>8.9131922947589963</v>
      </c>
      <c r="C360" s="27">
        <v>8.9160373732031992</v>
      </c>
      <c r="D360" s="88">
        <f t="shared" si="5"/>
        <v>-0.99008729858260835</v>
      </c>
      <c r="E360" s="94">
        <v>8.5120597634475506E-3</v>
      </c>
    </row>
    <row r="361" spans="1:5">
      <c r="A361" s="36">
        <v>349</v>
      </c>
      <c r="B361">
        <v>8.9132423405383996</v>
      </c>
      <c r="C361" s="27">
        <v>8.9160373732031992</v>
      </c>
      <c r="D361" s="88">
        <f t="shared" si="5"/>
        <v>-0.97546640001507257</v>
      </c>
      <c r="E361" s="94">
        <v>8.4876699073918264E-3</v>
      </c>
    </row>
    <row r="362" spans="1:5">
      <c r="A362" s="36">
        <v>350</v>
      </c>
      <c r="B362">
        <v>8.9132918874380138</v>
      </c>
      <c r="C362" s="27">
        <v>8.9160373732031992</v>
      </c>
      <c r="D362" s="88">
        <f t="shared" si="5"/>
        <v>-0.96092001781489245</v>
      </c>
      <c r="E362" s="94">
        <v>8.4634194219421355E-3</v>
      </c>
    </row>
    <row r="363" spans="1:5">
      <c r="A363" s="36">
        <v>351</v>
      </c>
      <c r="B363">
        <v>8.9133409405980082</v>
      </c>
      <c r="C363" s="27">
        <v>8.9160373732031992</v>
      </c>
      <c r="D363" s="88">
        <f t="shared" si="5"/>
        <v>-0.94644784442205321</v>
      </c>
      <c r="E363" s="94">
        <v>8.4393071158967176E-3</v>
      </c>
    </row>
    <row r="364" spans="1:5">
      <c r="A364" s="36">
        <v>352</v>
      </c>
      <c r="B364">
        <v>8.913389505085588</v>
      </c>
      <c r="C364" s="27">
        <v>8.9160373732031992</v>
      </c>
      <c r="D364" s="88">
        <f t="shared" si="5"/>
        <v>-0.93204957739914107</v>
      </c>
      <c r="E364" s="94">
        <v>8.4153318115901925E-3</v>
      </c>
    </row>
    <row r="365" spans="1:5">
      <c r="A365" s="36">
        <v>353</v>
      </c>
      <c r="B365">
        <v>8.9134375859146679</v>
      </c>
      <c r="C365" s="27">
        <v>8.9160373732031992</v>
      </c>
      <c r="D365" s="88">
        <f t="shared" si="5"/>
        <v>-0.9177249128515399</v>
      </c>
      <c r="E365" s="94">
        <v>8.3914923447018352E-3</v>
      </c>
    </row>
    <row r="366" spans="1:5">
      <c r="A366" s="36">
        <v>354</v>
      </c>
      <c r="B366">
        <v>8.9134851880269874</v>
      </c>
      <c r="C366" s="27">
        <v>8.9160373732031992</v>
      </c>
      <c r="D366" s="88">
        <f t="shared" si="5"/>
        <v>-0.90347355237897986</v>
      </c>
      <c r="E366" s="94">
        <v>8.3677875640670845E-3</v>
      </c>
    </row>
    <row r="367" spans="1:5">
      <c r="A367" s="36">
        <v>355</v>
      </c>
      <c r="B367">
        <v>8.9135323163161591</v>
      </c>
      <c r="C367" s="27">
        <v>8.9160373732031992</v>
      </c>
      <c r="D367" s="88">
        <f t="shared" si="5"/>
        <v>-0.88929519489926001</v>
      </c>
      <c r="E367" s="94">
        <v>8.3442163314922466E-3</v>
      </c>
    </row>
    <row r="368" spans="1:5">
      <c r="A368" s="36">
        <v>356</v>
      </c>
      <c r="B368">
        <v>8.9135789756016361</v>
      </c>
      <c r="C368" s="27">
        <v>8.9160373732031992</v>
      </c>
      <c r="D368" s="88">
        <f t="shared" si="5"/>
        <v>-0.87518954615645583</v>
      </c>
      <c r="E368" s="94">
        <v>8.3207775215723249E-3</v>
      </c>
    </row>
    <row r="369" spans="1:5">
      <c r="A369" s="36">
        <v>357</v>
      </c>
      <c r="B369">
        <v>8.9136251706504233</v>
      </c>
      <c r="C369" s="27">
        <v>8.9160373732031992</v>
      </c>
      <c r="D369" s="88">
        <f t="shared" ref="D369:D432" si="6">(B369-C369)*A369</f>
        <v>-0.86115631134101989</v>
      </c>
      <c r="E369" s="94">
        <v>8.2974700215118994E-3</v>
      </c>
    </row>
    <row r="370" spans="1:5">
      <c r="A370" s="36">
        <v>358</v>
      </c>
      <c r="B370">
        <v>8.9136709061739907</v>
      </c>
      <c r="C370" s="27">
        <v>8.9160373732031992</v>
      </c>
      <c r="D370" s="88">
        <f t="shared" si="6"/>
        <v>-0.84719519645664576</v>
      </c>
      <c r="E370" s="94">
        <v>8.2742927309490157E-3</v>
      </c>
    </row>
    <row r="371" spans="1:5">
      <c r="A371" s="36">
        <v>359</v>
      </c>
      <c r="B371">
        <v>8.9137161868071644</v>
      </c>
      <c r="C371" s="27">
        <v>8.9160373732031992</v>
      </c>
      <c r="D371" s="88">
        <f t="shared" si="6"/>
        <v>-0.83330591617650995</v>
      </c>
      <c r="E371" s="94">
        <v>8.2512445617820267E-3</v>
      </c>
    </row>
    <row r="372" spans="1:5">
      <c r="A372" s="36">
        <v>360</v>
      </c>
      <c r="B372">
        <v>8.9137610171606969</v>
      </c>
      <c r="C372" s="27">
        <v>8.9160373732031992</v>
      </c>
      <c r="D372" s="88">
        <f t="shared" si="6"/>
        <v>-0.81948817530083318</v>
      </c>
      <c r="E372" s="94">
        <v>8.2283244379993004E-3</v>
      </c>
    </row>
    <row r="373" spans="1:5">
      <c r="A373" s="36">
        <v>361</v>
      </c>
      <c r="B373">
        <v>8.9138054017582782</v>
      </c>
      <c r="C373" s="27">
        <v>8.9160373732031992</v>
      </c>
      <c r="D373" s="88">
        <f t="shared" si="6"/>
        <v>-0.80574169161649678</v>
      </c>
      <c r="E373" s="94">
        <v>8.2055312955117664E-3</v>
      </c>
    </row>
    <row r="374" spans="1:5">
      <c r="A374" s="36">
        <v>362</v>
      </c>
      <c r="B374">
        <v>8.9138493450776402</v>
      </c>
      <c r="C374" s="27">
        <v>8.9160373732031992</v>
      </c>
      <c r="D374" s="88">
        <f t="shared" si="6"/>
        <v>-0.79206618145238394</v>
      </c>
      <c r="E374" s="94">
        <v>8.1828640819882528E-3</v>
      </c>
    </row>
    <row r="375" spans="1:5">
      <c r="A375" s="36">
        <v>363</v>
      </c>
      <c r="B375">
        <v>8.9138928515604103</v>
      </c>
      <c r="C375" s="27">
        <v>8.9160373732031992</v>
      </c>
      <c r="D375" s="88">
        <f t="shared" si="6"/>
        <v>-0.77846135633236635</v>
      </c>
      <c r="E375" s="94">
        <v>8.1603217566935202E-3</v>
      </c>
    </row>
    <row r="376" spans="1:5">
      <c r="A376" s="36">
        <v>364</v>
      </c>
      <c r="B376">
        <v>8.9139359255687598</v>
      </c>
      <c r="C376" s="27">
        <v>8.9160373732031992</v>
      </c>
      <c r="D376" s="88">
        <f t="shared" si="6"/>
        <v>-0.76492693893595032</v>
      </c>
      <c r="E376" s="94">
        <v>8.137903290328978E-3</v>
      </c>
    </row>
    <row r="377" spans="1:5">
      <c r="A377" s="36">
        <v>365</v>
      </c>
      <c r="B377">
        <v>8.9139785714104693</v>
      </c>
      <c r="C377" s="27">
        <v>8.9160373732031992</v>
      </c>
      <c r="D377" s="88">
        <f t="shared" si="6"/>
        <v>-0.75146265434640647</v>
      </c>
      <c r="E377" s="94">
        <v>8.1156076648760209E-3</v>
      </c>
    </row>
    <row r="378" spans="1:5">
      <c r="A378" s="36">
        <v>366</v>
      </c>
      <c r="B378">
        <v>8.9140207933691844</v>
      </c>
      <c r="C378" s="27">
        <v>8.9160373732031992</v>
      </c>
      <c r="D378" s="88">
        <f t="shared" si="6"/>
        <v>-0.73806821924942412</v>
      </c>
      <c r="E378" s="94">
        <v>8.0934338734419322E-3</v>
      </c>
    </row>
    <row r="379" spans="1:5">
      <c r="A379" s="36">
        <v>367</v>
      </c>
      <c r="B379">
        <v>8.9140625956642321</v>
      </c>
      <c r="C379" s="27">
        <v>8.9160373732031992</v>
      </c>
      <c r="D379" s="88">
        <f t="shared" si="6"/>
        <v>-0.72474335680093738</v>
      </c>
      <c r="E379" s="94">
        <v>8.071380920108305E-3</v>
      </c>
    </row>
    <row r="380" spans="1:5">
      <c r="A380" s="36">
        <v>368</v>
      </c>
      <c r="B380">
        <v>8.9141039824419508</v>
      </c>
      <c r="C380" s="27">
        <v>8.9160373732031992</v>
      </c>
      <c r="D380" s="88">
        <f t="shared" si="6"/>
        <v>-0.71148780013942314</v>
      </c>
      <c r="E380" s="94">
        <v>8.0494478197819241E-3</v>
      </c>
    </row>
    <row r="381" spans="1:5">
      <c r="A381" s="36">
        <v>369</v>
      </c>
      <c r="B381">
        <v>8.9141449578269789</v>
      </c>
      <c r="C381" s="27">
        <v>8.9160373732031992</v>
      </c>
      <c r="D381" s="88">
        <f t="shared" si="6"/>
        <v>-0.69830127382529561</v>
      </c>
      <c r="E381" s="94">
        <v>8.0276335980480965E-3</v>
      </c>
    </row>
    <row r="382" spans="1:5">
      <c r="A382" s="36">
        <v>370</v>
      </c>
      <c r="B382">
        <v>8.9141855258835481</v>
      </c>
      <c r="C382" s="27">
        <v>8.9160373732031992</v>
      </c>
      <c r="D382" s="88">
        <f t="shared" si="6"/>
        <v>-0.68518350827092789</v>
      </c>
      <c r="E382" s="94">
        <v>8.0059372910263465E-3</v>
      </c>
    </row>
    <row r="383" spans="1:5">
      <c r="A383" s="36">
        <v>371</v>
      </c>
      <c r="B383">
        <v>8.9142256906335593</v>
      </c>
      <c r="C383" s="27">
        <v>8.9160373732031992</v>
      </c>
      <c r="D383" s="88">
        <f t="shared" si="6"/>
        <v>-0.67213423333641309</v>
      </c>
      <c r="E383" s="94">
        <v>7.9843579452284312E-3</v>
      </c>
    </row>
    <row r="384" spans="1:5">
      <c r="A384" s="36">
        <v>372</v>
      </c>
      <c r="B384">
        <v>8.9142654560395744</v>
      </c>
      <c r="C384" s="27">
        <v>8.9160373732031992</v>
      </c>
      <c r="D384" s="88">
        <f t="shared" si="6"/>
        <v>-0.65915318486842267</v>
      </c>
      <c r="E384" s="94">
        <v>7.9628946174186768E-3</v>
      </c>
    </row>
    <row r="385" spans="1:5">
      <c r="A385" s="36">
        <v>373</v>
      </c>
      <c r="B385">
        <v>8.9143048260260045</v>
      </c>
      <c r="C385" s="27">
        <v>8.9160373732031992</v>
      </c>
      <c r="D385" s="88">
        <f t="shared" si="6"/>
        <v>-0.64624009709363506</v>
      </c>
      <c r="E385" s="94">
        <v>7.9415463744765356E-3</v>
      </c>
    </row>
    <row r="386" spans="1:5">
      <c r="A386" s="36">
        <v>374</v>
      </c>
      <c r="B386">
        <v>8.9143438044686931</v>
      </c>
      <c r="C386" s="27">
        <v>8.9160373732031992</v>
      </c>
      <c r="D386" s="88">
        <f t="shared" si="6"/>
        <v>-0.63339470670528186</v>
      </c>
      <c r="E386" s="94">
        <v>7.9203122932613567E-3</v>
      </c>
    </row>
    <row r="387" spans="1:5">
      <c r="A387" s="36">
        <v>375</v>
      </c>
      <c r="B387">
        <v>8.9143823951999206</v>
      </c>
      <c r="C387" s="27">
        <v>8.9160373732031992</v>
      </c>
      <c r="D387" s="88">
        <f t="shared" si="6"/>
        <v>-0.62061675122948579</v>
      </c>
      <c r="E387" s="94">
        <v>7.8991914604793264E-3</v>
      </c>
    </row>
    <row r="388" spans="1:5">
      <c r="A388" s="36">
        <v>376</v>
      </c>
      <c r="B388">
        <v>8.9144206019966994</v>
      </c>
      <c r="C388" s="27">
        <v>8.9160373732031992</v>
      </c>
      <c r="D388" s="88">
        <f t="shared" si="6"/>
        <v>-0.60790597364393761</v>
      </c>
      <c r="E388" s="94">
        <v>7.8781829725525204E-3</v>
      </c>
    </row>
    <row r="389" spans="1:5">
      <c r="A389" s="36">
        <v>377</v>
      </c>
      <c r="B389">
        <v>8.9144584286089987</v>
      </c>
      <c r="C389" s="27">
        <v>8.9160373732031992</v>
      </c>
      <c r="D389" s="88">
        <f t="shared" si="6"/>
        <v>-0.59526211201358592</v>
      </c>
      <c r="E389" s="94">
        <v>7.8572859354900451E-3</v>
      </c>
    </row>
    <row r="390" spans="1:5">
      <c r="A390" s="36">
        <v>378</v>
      </c>
      <c r="B390">
        <v>8.9144958787200643</v>
      </c>
      <c r="C390" s="27">
        <v>8.9160373732031992</v>
      </c>
      <c r="D390" s="88">
        <f t="shared" si="6"/>
        <v>-0.58268491462499128</v>
      </c>
      <c r="E390" s="94">
        <v>7.8364994647612367E-3</v>
      </c>
    </row>
    <row r="391" spans="1:5">
      <c r="A391" s="36">
        <v>379</v>
      </c>
      <c r="B391">
        <v>8.9145329559956537</v>
      </c>
      <c r="C391" s="27">
        <v>8.9160373732031992</v>
      </c>
      <c r="D391" s="88">
        <f t="shared" si="6"/>
        <v>-0.57017412165977177</v>
      </c>
      <c r="E391" s="94">
        <v>7.8158226851708385E-3</v>
      </c>
    </row>
    <row r="392" spans="1:5">
      <c r="A392" s="36">
        <v>380</v>
      </c>
      <c r="B392">
        <v>8.9145696640350742</v>
      </c>
      <c r="C392" s="27">
        <v>8.9160373732031992</v>
      </c>
      <c r="D392" s="88">
        <f t="shared" si="6"/>
        <v>-0.5577294838874991</v>
      </c>
      <c r="E392" s="94">
        <v>7.795254730736177E-3</v>
      </c>
    </row>
    <row r="393" spans="1:5">
      <c r="A393" s="36">
        <v>381</v>
      </c>
      <c r="B393">
        <v>8.91460600641153</v>
      </c>
      <c r="C393" s="27">
        <v>8.9160373732031992</v>
      </c>
      <c r="D393" s="88">
        <f t="shared" si="6"/>
        <v>-0.54535074762597269</v>
      </c>
      <c r="E393" s="94">
        <v>7.7747947445662678E-3</v>
      </c>
    </row>
    <row r="394" spans="1:5">
      <c r="A394" s="36">
        <v>382</v>
      </c>
      <c r="B394">
        <v>8.9146419866595892</v>
      </c>
      <c r="C394" s="27">
        <v>8.9160373732031992</v>
      </c>
      <c r="D394" s="88">
        <f t="shared" si="6"/>
        <v>-0.53303765965903693</v>
      </c>
      <c r="E394" s="94">
        <v>7.7544418787427955E-3</v>
      </c>
    </row>
    <row r="395" spans="1:5">
      <c r="A395" s="36">
        <v>383</v>
      </c>
      <c r="B395">
        <v>8.9146776082516705</v>
      </c>
      <c r="C395" s="27">
        <v>8.9160373732031992</v>
      </c>
      <c r="D395" s="88">
        <f t="shared" si="6"/>
        <v>-0.52078997643548242</v>
      </c>
      <c r="E395" s="94">
        <v>7.7341952942029963E-3</v>
      </c>
    </row>
    <row r="396" spans="1:5">
      <c r="A396" s="36">
        <v>384</v>
      </c>
      <c r="B396">
        <v>8.9147128746313182</v>
      </c>
      <c r="C396" s="27">
        <v>8.9160373732031992</v>
      </c>
      <c r="D396" s="88">
        <f t="shared" si="6"/>
        <v>-0.50860745160230181</v>
      </c>
      <c r="E396" s="94">
        <v>7.7140541606243417E-3</v>
      </c>
    </row>
    <row r="397" spans="1:5">
      <c r="A397" s="36">
        <v>385</v>
      </c>
      <c r="B397">
        <v>8.9147477892204456</v>
      </c>
      <c r="C397" s="27">
        <v>8.9160373732031992</v>
      </c>
      <c r="D397" s="88">
        <f t="shared" si="6"/>
        <v>-0.49648983336012975</v>
      </c>
      <c r="E397" s="94">
        <v>7.6940176563110325E-3</v>
      </c>
    </row>
    <row r="398" spans="1:5">
      <c r="A398" s="36">
        <v>386</v>
      </c>
      <c r="B398">
        <v>8.9147823553669383</v>
      </c>
      <c r="C398" s="27">
        <v>8.9160373732031992</v>
      </c>
      <c r="D398" s="88">
        <f t="shared" si="6"/>
        <v>-0.48443688479671465</v>
      </c>
      <c r="E398" s="94">
        <v>7.6740849680822483E-3</v>
      </c>
    </row>
    <row r="399" spans="1:5">
      <c r="A399" s="36">
        <v>387</v>
      </c>
      <c r="B399">
        <v>8.9148165764062473</v>
      </c>
      <c r="C399" s="27">
        <v>8.9160373732031992</v>
      </c>
      <c r="D399" s="88">
        <f t="shared" si="6"/>
        <v>-0.47244836042041349</v>
      </c>
      <c r="E399" s="94">
        <v>7.6542552911621391E-3</v>
      </c>
    </row>
    <row r="400" spans="1:5">
      <c r="A400" s="36">
        <v>388</v>
      </c>
      <c r="B400">
        <v>8.9148504556253663</v>
      </c>
      <c r="C400" s="27">
        <v>8.9160373732031992</v>
      </c>
      <c r="D400" s="88">
        <f t="shared" si="6"/>
        <v>-0.46052402019918759</v>
      </c>
      <c r="E400" s="94">
        <v>7.6345278290715149E-3</v>
      </c>
    </row>
    <row r="401" spans="1:5">
      <c r="A401" s="36">
        <v>389</v>
      </c>
      <c r="B401">
        <v>8.9148839962837876</v>
      </c>
      <c r="C401" s="27">
        <v>8.9160373732031992</v>
      </c>
      <c r="D401" s="88">
        <f t="shared" si="6"/>
        <v>-0.44866362165112861</v>
      </c>
      <c r="E401" s="94">
        <v>7.6149017935212022E-3</v>
      </c>
    </row>
    <row r="402" spans="1:5">
      <c r="A402" s="36">
        <v>390</v>
      </c>
      <c r="B402">
        <v>8.9149172015839699</v>
      </c>
      <c r="C402" s="27">
        <v>8.9160373732031992</v>
      </c>
      <c r="D402" s="88">
        <f t="shared" si="6"/>
        <v>-0.43686693149942002</v>
      </c>
      <c r="E402" s="94">
        <v>7.5953764043070453E-3</v>
      </c>
    </row>
    <row r="403" spans="1:5">
      <c r="A403" s="36">
        <v>391</v>
      </c>
      <c r="B403">
        <v>8.9149500747154349</v>
      </c>
      <c r="C403" s="27">
        <v>8.9160373732031992</v>
      </c>
      <c r="D403" s="88">
        <f t="shared" si="6"/>
        <v>-0.42513370871585821</v>
      </c>
      <c r="E403" s="94">
        <v>7.5759508892065171E-3</v>
      </c>
    </row>
    <row r="404" spans="1:5">
      <c r="A404" s="36">
        <v>392</v>
      </c>
      <c r="B404">
        <v>8.9149826188120738</v>
      </c>
      <c r="C404" s="27">
        <v>8.9160373732031992</v>
      </c>
      <c r="D404" s="88">
        <f t="shared" si="6"/>
        <v>-0.41346372132117892</v>
      </c>
      <c r="E404" s="94">
        <v>7.5566244838769069E-3</v>
      </c>
    </row>
    <row r="405" spans="1:5">
      <c r="A405" s="36">
        <v>393</v>
      </c>
      <c r="B405">
        <v>8.9150148369760291</v>
      </c>
      <c r="C405" s="27">
        <v>8.9160373732031992</v>
      </c>
      <c r="D405" s="88">
        <f t="shared" si="6"/>
        <v>-0.40185673727784099</v>
      </c>
      <c r="E405" s="94">
        <v>7.537396431755084E-3</v>
      </c>
    </row>
    <row r="406" spans="1:5">
      <c r="A406" s="36">
        <v>394</v>
      </c>
      <c r="B406">
        <v>8.9150467322939555</v>
      </c>
      <c r="C406" s="27">
        <v>8.9160373732031992</v>
      </c>
      <c r="D406" s="88">
        <f t="shared" si="6"/>
        <v>-0.39031251824202684</v>
      </c>
      <c r="E406" s="94">
        <v>7.5182659839587501E-3</v>
      </c>
    </row>
    <row r="407" spans="1:5">
      <c r="A407" s="36">
        <v>395</v>
      </c>
      <c r="B407">
        <v>8.9150783077865388</v>
      </c>
      <c r="C407" s="27">
        <v>8.9160373732031992</v>
      </c>
      <c r="D407" s="88">
        <f t="shared" si="6"/>
        <v>-0.3788308395808837</v>
      </c>
      <c r="E407" s="94">
        <v>7.4992323991892353E-3</v>
      </c>
    </row>
    <row r="408" spans="1:5">
      <c r="A408" s="36">
        <v>396</v>
      </c>
      <c r="B408">
        <v>8.9151095664576161</v>
      </c>
      <c r="C408" s="27">
        <v>8.9160373732031992</v>
      </c>
      <c r="D408" s="88">
        <f t="shared" si="6"/>
        <v>-0.367411471250918</v>
      </c>
      <c r="E408" s="94">
        <v>7.480294943635727E-3</v>
      </c>
    </row>
    <row r="409" spans="1:5">
      <c r="A409" s="36">
        <v>397</v>
      </c>
      <c r="B409">
        <v>8.9151405112840969</v>
      </c>
      <c r="C409" s="27">
        <v>8.9160373732031992</v>
      </c>
      <c r="D409" s="88">
        <f t="shared" si="6"/>
        <v>-0.35605418188362137</v>
      </c>
      <c r="E409" s="94">
        <v>7.4614528908809761E-3</v>
      </c>
    </row>
    <row r="410" spans="1:5">
      <c r="A410" s="36">
        <v>398</v>
      </c>
      <c r="B410">
        <v>8.9151711451918452</v>
      </c>
      <c r="C410" s="27">
        <v>8.9160373732031992</v>
      </c>
      <c r="D410" s="88">
        <f t="shared" si="6"/>
        <v>-0.34475874851891319</v>
      </c>
      <c r="E410" s="94">
        <v>7.4427055218084116E-3</v>
      </c>
    </row>
    <row r="411" spans="1:5">
      <c r="A411" s="36">
        <v>399</v>
      </c>
      <c r="B411">
        <v>8.9152014710814083</v>
      </c>
      <c r="C411" s="27">
        <v>8.9160373732031992</v>
      </c>
      <c r="D411" s="88">
        <f t="shared" si="6"/>
        <v>-0.33352494659459531</v>
      </c>
      <c r="E411" s="94">
        <v>7.4240521245106453E-3</v>
      </c>
    </row>
    <row r="412" spans="1:5">
      <c r="A412" s="36">
        <v>400</v>
      </c>
      <c r="B412">
        <v>8.9152314918338167</v>
      </c>
      <c r="C412" s="27">
        <v>8.9160373732031992</v>
      </c>
      <c r="D412" s="88">
        <f t="shared" si="6"/>
        <v>-0.32235254775301314</v>
      </c>
      <c r="E412" s="94">
        <v>7.4054919941993697E-3</v>
      </c>
    </row>
    <row r="413" spans="1:5">
      <c r="A413" s="36">
        <v>401</v>
      </c>
      <c r="B413">
        <v>8.9152612102760269</v>
      </c>
      <c r="C413" s="27">
        <v>8.9160373732031992</v>
      </c>
      <c r="D413" s="88">
        <f t="shared" si="6"/>
        <v>-0.31124133379609553</v>
      </c>
      <c r="E413" s="94">
        <v>7.3870244331165772E-3</v>
      </c>
    </row>
    <row r="414" spans="1:5">
      <c r="A414" s="36">
        <v>402</v>
      </c>
      <c r="B414">
        <v>8.915290629221893</v>
      </c>
      <c r="C414" s="27">
        <v>8.9160373732031992</v>
      </c>
      <c r="D414" s="88">
        <f t="shared" si="6"/>
        <v>-0.30019108048511356</v>
      </c>
      <c r="E414" s="94">
        <v>7.3686487504471335E-3</v>
      </c>
    </row>
    <row r="415" spans="1:5">
      <c r="A415" s="36">
        <v>403</v>
      </c>
      <c r="B415">
        <v>8.9153197514452849</v>
      </c>
      <c r="C415" s="27">
        <v>8.9160373732031992</v>
      </c>
      <c r="D415" s="88">
        <f t="shared" si="6"/>
        <v>-0.28920156843948064</v>
      </c>
      <c r="E415" s="94">
        <v>7.3503642622326244E-3</v>
      </c>
    </row>
    <row r="416" spans="1:5">
      <c r="A416" s="36">
        <v>404</v>
      </c>
      <c r="B416">
        <v>8.9153485796788665</v>
      </c>
      <c r="C416" s="27">
        <v>8.9160373732031992</v>
      </c>
      <c r="D416" s="88">
        <f t="shared" si="6"/>
        <v>-0.27827258383041453</v>
      </c>
      <c r="E416" s="94">
        <v>7.3321702912865043E-3</v>
      </c>
    </row>
    <row r="417" spans="1:5">
      <c r="A417" s="36">
        <v>405</v>
      </c>
      <c r="B417">
        <v>8.9153771166537776</v>
      </c>
      <c r="C417" s="27">
        <v>8.9160373732031992</v>
      </c>
      <c r="D417" s="88">
        <f t="shared" si="6"/>
        <v>-0.26740390251574375</v>
      </c>
      <c r="E417" s="94">
        <v>7.3140661671104879E-3</v>
      </c>
    </row>
    <row r="418" spans="1:5">
      <c r="A418" s="36">
        <v>406</v>
      </c>
      <c r="B418">
        <v>8.9154053650401988</v>
      </c>
      <c r="C418" s="27">
        <v>8.9160373732031992</v>
      </c>
      <c r="D418" s="88">
        <f t="shared" si="6"/>
        <v>-0.25659531417818826</v>
      </c>
      <c r="E418" s="94">
        <v>7.2960512258121871E-3</v>
      </c>
    </row>
    <row r="419" spans="1:5">
      <c r="A419" s="36">
        <v>407</v>
      </c>
      <c r="B419">
        <v>8.9154333275001374</v>
      </c>
      <c r="C419" s="27">
        <v>8.9160373732031992</v>
      </c>
      <c r="D419" s="88">
        <f t="shared" si="6"/>
        <v>-0.24584660114616419</v>
      </c>
      <c r="E419" s="94">
        <v>7.2781248100239502E-3</v>
      </c>
    </row>
    <row r="420" spans="1:5">
      <c r="A420" s="36">
        <v>408</v>
      </c>
      <c r="B420">
        <v>8.9154610066555442</v>
      </c>
      <c r="C420" s="27">
        <v>8.9160373732031992</v>
      </c>
      <c r="D420" s="88">
        <f t="shared" si="6"/>
        <v>-0.23515755144325112</v>
      </c>
      <c r="E420" s="94">
        <v>7.2602862688229105E-3</v>
      </c>
    </row>
    <row r="421" spans="1:5">
      <c r="A421" s="36">
        <v>409</v>
      </c>
      <c r="B421">
        <v>8.9154884051105263</v>
      </c>
      <c r="C421" s="27">
        <v>8.9160373732031992</v>
      </c>
      <c r="D421" s="88">
        <f t="shared" si="6"/>
        <v>-0.22452794990321934</v>
      </c>
      <c r="E421" s="94">
        <v>7.2425349576521946E-3</v>
      </c>
    </row>
    <row r="422" spans="1:5">
      <c r="A422" s="36">
        <v>410</v>
      </c>
      <c r="B422">
        <v>8.9155155254287486</v>
      </c>
      <c r="C422" s="27">
        <v>8.9160373732031992</v>
      </c>
      <c r="D422" s="88">
        <f t="shared" si="6"/>
        <v>-0.21395758752476013</v>
      </c>
      <c r="E422" s="94">
        <v>7.2248702382432875E-3</v>
      </c>
    </row>
    <row r="423" spans="1:5">
      <c r="A423" s="36">
        <v>411</v>
      </c>
      <c r="B423">
        <v>8.9155423701339842</v>
      </c>
      <c r="C423" s="27">
        <v>8.9160373732031992</v>
      </c>
      <c r="D423" s="88">
        <f t="shared" si="6"/>
        <v>-0.20344626144737177</v>
      </c>
      <c r="E423" s="94">
        <v>7.2072914785395329E-3</v>
      </c>
    </row>
    <row r="424" spans="1:5">
      <c r="A424" s="36">
        <v>412</v>
      </c>
      <c r="B424">
        <v>8.9155689417669173</v>
      </c>
      <c r="C424" s="27">
        <v>8.9160373732031992</v>
      </c>
      <c r="D424" s="88">
        <f t="shared" si="6"/>
        <v>-0.19299375174816191</v>
      </c>
      <c r="E424" s="94">
        <v>7.1897980526207462E-3</v>
      </c>
    </row>
    <row r="425" spans="1:5">
      <c r="A425" s="36">
        <v>413</v>
      </c>
      <c r="B425">
        <v>8.9155952427924756</v>
      </c>
      <c r="C425" s="27">
        <v>8.9160373732031992</v>
      </c>
      <c r="D425" s="88">
        <f t="shared" si="6"/>
        <v>-0.18259985962884961</v>
      </c>
      <c r="E425" s="94">
        <v>7.1723893406289291E-3</v>
      </c>
    </row>
    <row r="426" spans="1:5">
      <c r="A426" s="36">
        <v>414</v>
      </c>
      <c r="B426">
        <v>8.9156212756765836</v>
      </c>
      <c r="C426" s="27">
        <v>8.9160373732031992</v>
      </c>
      <c r="D426" s="88">
        <f t="shared" si="6"/>
        <v>-0.17226437601887667</v>
      </c>
      <c r="E426" s="94">
        <v>7.1550647286950427E-3</v>
      </c>
    </row>
    <row r="427" spans="1:5">
      <c r="A427" s="36">
        <v>415</v>
      </c>
      <c r="B427">
        <v>8.9156470428533012</v>
      </c>
      <c r="C427" s="27">
        <v>8.9160373732031992</v>
      </c>
      <c r="D427" s="88">
        <f t="shared" si="6"/>
        <v>-0.16198709520766741</v>
      </c>
      <c r="E427" s="94">
        <v>7.1378236088668629E-3</v>
      </c>
    </row>
    <row r="428" spans="1:5">
      <c r="A428" s="36">
        <v>416</v>
      </c>
      <c r="B428">
        <v>8.915672546724478</v>
      </c>
      <c r="C428" s="27">
        <v>8.9160373732031992</v>
      </c>
      <c r="D428" s="88">
        <f t="shared" si="6"/>
        <v>-0.15176781514804816</v>
      </c>
      <c r="E428" s="94">
        <v>7.1206653790378558E-3</v>
      </c>
    </row>
    <row r="429" spans="1:5">
      <c r="A429" s="36">
        <v>417</v>
      </c>
      <c r="B429">
        <v>8.9156977896665524</v>
      </c>
      <c r="C429" s="27">
        <v>8.9160373732031992</v>
      </c>
      <c r="D429" s="88">
        <f t="shared" si="6"/>
        <v>-0.14160633478174489</v>
      </c>
      <c r="E429" s="94">
        <v>7.1035894428770922E-3</v>
      </c>
    </row>
    <row r="430" spans="1:5">
      <c r="A430" s="36">
        <v>418</v>
      </c>
      <c r="B430">
        <v>8.9157227740434415</v>
      </c>
      <c r="C430" s="27">
        <v>8.9160373732031992</v>
      </c>
      <c r="D430" s="88">
        <f t="shared" si="6"/>
        <v>-0.13150244877873263</v>
      </c>
      <c r="E430" s="94">
        <v>7.0865952097601617E-3</v>
      </c>
    </row>
    <row r="431" spans="1:5">
      <c r="A431" s="36">
        <v>419</v>
      </c>
      <c r="B431">
        <v>8.9157475021713193</v>
      </c>
      <c r="C431" s="27">
        <v>8.9160373732031992</v>
      </c>
      <c r="D431" s="88">
        <f t="shared" si="6"/>
        <v>-0.12145596235769496</v>
      </c>
      <c r="E431" s="94">
        <v>7.0696820947010689E-3</v>
      </c>
    </row>
    <row r="432" spans="1:5">
      <c r="A432" s="36">
        <v>420</v>
      </c>
      <c r="B432">
        <v>8.9157719763632457</v>
      </c>
      <c r="C432" s="27">
        <v>8.9160373732031992</v>
      </c>
      <c r="D432" s="88">
        <f t="shared" si="6"/>
        <v>-0.11146667278048028</v>
      </c>
      <c r="E432" s="94">
        <v>7.0528495182851144E-3</v>
      </c>
    </row>
    <row r="433" spans="1:5">
      <c r="A433" s="36">
        <v>421</v>
      </c>
      <c r="B433">
        <v>8.9157961988985424</v>
      </c>
      <c r="C433" s="27">
        <v>8.9160373732031992</v>
      </c>
      <c r="D433" s="88">
        <f t="shared" ref="D433:D496" si="7">(B433-C433)*A433</f>
        <v>-0.10153438226054057</v>
      </c>
      <c r="E433" s="94">
        <v>7.0360969066027264E-3</v>
      </c>
    </row>
    <row r="434" spans="1:5">
      <c r="A434" s="36">
        <v>422</v>
      </c>
      <c r="B434">
        <v>8.9158201720287966</v>
      </c>
      <c r="C434" s="27">
        <v>8.9160373732031992</v>
      </c>
      <c r="D434" s="88">
        <f t="shared" si="7"/>
        <v>-9.1658895597898749E-2</v>
      </c>
      <c r="E434" s="94">
        <v>7.0194236911842369E-3</v>
      </c>
    </row>
    <row r="435" spans="1:5">
      <c r="A435" s="36">
        <v>423</v>
      </c>
      <c r="B435">
        <v>8.9158438979819685</v>
      </c>
      <c r="C435" s="27">
        <v>8.9160373732031992</v>
      </c>
      <c r="D435" s="88">
        <f t="shared" si="7"/>
        <v>-8.1840018580585649E-2</v>
      </c>
      <c r="E435" s="94">
        <v>7.0028293089355736E-3</v>
      </c>
    </row>
    <row r="436" spans="1:5">
      <c r="A436" s="36">
        <v>424</v>
      </c>
      <c r="B436">
        <v>8.9158673789673895</v>
      </c>
      <c r="C436" s="27">
        <v>8.9160373732031992</v>
      </c>
      <c r="D436" s="88">
        <f t="shared" si="7"/>
        <v>-7.2077555983341313E-2</v>
      </c>
      <c r="E436" s="94">
        <v>6.9863132020748769E-3</v>
      </c>
    </row>
    <row r="437" spans="1:5">
      <c r="A437" s="36">
        <v>425</v>
      </c>
      <c r="B437">
        <v>8.9158906171731989</v>
      </c>
      <c r="C437" s="27">
        <v>8.9160373732031992</v>
      </c>
      <c r="D437" s="88">
        <f t="shared" si="7"/>
        <v>-6.2371312750153507E-2</v>
      </c>
      <c r="E437" s="94">
        <v>6.9698748180699937E-3</v>
      </c>
    </row>
    <row r="438" spans="1:5">
      <c r="A438" s="36">
        <v>426</v>
      </c>
      <c r="B438">
        <v>8.915913614759674</v>
      </c>
      <c r="C438" s="27">
        <v>8.9160373732031992</v>
      </c>
      <c r="D438" s="88">
        <f t="shared" si="7"/>
        <v>-5.2721096941731105E-2</v>
      </c>
      <c r="E438" s="94">
        <v>6.9535136095768722E-3</v>
      </c>
    </row>
    <row r="439" spans="1:5">
      <c r="A439" s="36">
        <v>427</v>
      </c>
      <c r="B439">
        <v>8.915936373867769</v>
      </c>
      <c r="C439" s="27">
        <v>8.9160373732031992</v>
      </c>
      <c r="D439" s="88">
        <f t="shared" si="7"/>
        <v>-4.3126716228684359E-2</v>
      </c>
      <c r="E439" s="94">
        <v>6.9372290343787998E-3</v>
      </c>
    </row>
    <row r="440" spans="1:5">
      <c r="A440" s="36">
        <v>428</v>
      </c>
      <c r="B440">
        <v>8.9159588965975356</v>
      </c>
      <c r="C440" s="27">
        <v>8.9160373732031992</v>
      </c>
      <c r="D440" s="88">
        <f t="shared" si="7"/>
        <v>-3.3587987224031224E-2</v>
      </c>
      <c r="E440" s="94">
        <v>6.921020555326513E-3</v>
      </c>
    </row>
    <row r="441" spans="1:5">
      <c r="A441" s="36">
        <v>429</v>
      </c>
      <c r="B441">
        <v>8.9159811850568733</v>
      </c>
      <c r="C441" s="27">
        <v>8.9160373732031992</v>
      </c>
      <c r="D441" s="88">
        <f t="shared" si="7"/>
        <v>-2.4104714773814706E-2</v>
      </c>
      <c r="E441" s="94">
        <v>6.904887640279132E-3</v>
      </c>
    </row>
    <row r="442" spans="1:5">
      <c r="A442" s="36">
        <v>430</v>
      </c>
      <c r="B442">
        <v>8.9160032413090935</v>
      </c>
      <c r="C442" s="27">
        <v>8.9160373732031992</v>
      </c>
      <c r="D442" s="88">
        <f t="shared" si="7"/>
        <v>-1.4676714465462481E-2</v>
      </c>
      <c r="E442" s="94">
        <v>6.8888297620459246E-3</v>
      </c>
    </row>
    <row r="443" spans="1:5">
      <c r="A443" s="36">
        <v>431</v>
      </c>
      <c r="B443">
        <v>8.9160250674152035</v>
      </c>
      <c r="C443" s="27">
        <v>8.9160373732031992</v>
      </c>
      <c r="D443" s="88">
        <f t="shared" si="7"/>
        <v>-5.3037946261529356E-3</v>
      </c>
      <c r="E443" s="94">
        <v>6.8728463983288805E-3</v>
      </c>
    </row>
    <row r="444" spans="1:5">
      <c r="A444" s="36">
        <v>432</v>
      </c>
      <c r="B444">
        <v>8.9160466653960047</v>
      </c>
      <c r="C444" s="27">
        <v>8.9160373732031992</v>
      </c>
      <c r="D444" s="88">
        <f t="shared" si="7"/>
        <v>4.0142272919467814E-3</v>
      </c>
      <c r="E444" s="94">
        <v>6.8569370316660825E-3</v>
      </c>
    </row>
    <row r="445" spans="1:5">
      <c r="A445" s="36">
        <v>433</v>
      </c>
      <c r="B445">
        <v>8.9160680372571228</v>
      </c>
      <c r="C445" s="27">
        <v>8.9160373732031992</v>
      </c>
      <c r="D445" s="88">
        <f t="shared" si="7"/>
        <v>1.32775353489194E-2</v>
      </c>
      <c r="E445" s="94">
        <v>6.8411011493758611E-3</v>
      </c>
    </row>
    <row r="446" spans="1:5">
      <c r="A446" s="36">
        <v>434</v>
      </c>
      <c r="B446">
        <v>8.916089184985065</v>
      </c>
      <c r="C446" s="27">
        <v>8.9160373732031992</v>
      </c>
      <c r="D446" s="88">
        <f t="shared" si="7"/>
        <v>2.2486313329736163E-2</v>
      </c>
      <c r="E446" s="94">
        <v>6.8253382435017234E-3</v>
      </c>
    </row>
    <row r="447" spans="1:5">
      <c r="A447" s="36">
        <v>435</v>
      </c>
      <c r="B447">
        <v>8.91611011055166</v>
      </c>
      <c r="C447" s="27">
        <v>8.9160373732031992</v>
      </c>
      <c r="D447" s="88">
        <f t="shared" si="7"/>
        <v>3.1640746580450241E-2</v>
      </c>
      <c r="E447" s="94">
        <v>6.8096478107580408E-3</v>
      </c>
    </row>
    <row r="448" spans="1:5">
      <c r="A448" s="36">
        <v>436</v>
      </c>
      <c r="B448">
        <v>8.9161308158869126</v>
      </c>
      <c r="C448" s="27">
        <v>8.9160373732031992</v>
      </c>
      <c r="D448" s="88">
        <f t="shared" si="7"/>
        <v>4.0741010099026198E-2</v>
      </c>
      <c r="E448" s="94">
        <v>6.7940293524764855E-3</v>
      </c>
    </row>
    <row r="449" spans="1:5">
      <c r="A449" s="36">
        <v>437</v>
      </c>
      <c r="B449">
        <v>8.9161513029401718</v>
      </c>
      <c r="C449" s="27">
        <v>8.9160373732031992</v>
      </c>
      <c r="D449" s="88">
        <f t="shared" si="7"/>
        <v>4.9787295057004854E-2</v>
      </c>
      <c r="E449" s="94">
        <v>6.778482374553199E-3</v>
      </c>
    </row>
    <row r="450" spans="1:5">
      <c r="A450" s="36">
        <v>438</v>
      </c>
      <c r="B450">
        <v>8.9161715735907645</v>
      </c>
      <c r="C450" s="27">
        <v>8.9160373732031992</v>
      </c>
      <c r="D450" s="88">
        <f t="shared" si="7"/>
        <v>5.8779769753595446E-2</v>
      </c>
      <c r="E450" s="94">
        <v>6.7630063873966835E-3</v>
      </c>
    </row>
    <row r="451" spans="1:5">
      <c r="A451" s="36">
        <v>439</v>
      </c>
      <c r="B451">
        <v>8.916191629748937</v>
      </c>
      <c r="C451" s="27">
        <v>8.9160373732031992</v>
      </c>
      <c r="D451" s="88">
        <f t="shared" si="7"/>
        <v>6.7718623578873149E-2</v>
      </c>
      <c r="E451" s="94">
        <v>6.7476009058764184E-3</v>
      </c>
    </row>
    <row r="452" spans="1:5">
      <c r="A452" s="36">
        <v>440</v>
      </c>
      <c r="B452">
        <v>8.9162114732621092</v>
      </c>
      <c r="C452" s="27">
        <v>8.9160373732031992</v>
      </c>
      <c r="D452" s="88">
        <f t="shared" si="7"/>
        <v>7.6604025920374852E-2</v>
      </c>
      <c r="E452" s="94">
        <v>6.7322654492721536E-3</v>
      </c>
    </row>
    <row r="453" spans="1:5">
      <c r="A453" s="36">
        <v>441</v>
      </c>
      <c r="B453">
        <v>8.9162311059916011</v>
      </c>
      <c r="C453" s="27">
        <v>8.9160373732031992</v>
      </c>
      <c r="D453" s="88">
        <f t="shared" si="7"/>
        <v>8.5436159685214008E-2</v>
      </c>
      <c r="E453" s="94">
        <v>6.7169995412239185E-3</v>
      </c>
    </row>
    <row r="454" spans="1:5">
      <c r="A454" s="36">
        <v>442</v>
      </c>
      <c r="B454">
        <v>8.9162505297564927</v>
      </c>
      <c r="C454" s="27">
        <v>8.9160373732031992</v>
      </c>
      <c r="D454" s="88">
        <f t="shared" si="7"/>
        <v>9.4215196555708758E-2</v>
      </c>
      <c r="E454" s="94">
        <v>6.7018027096826882E-3</v>
      </c>
    </row>
    <row r="455" spans="1:5">
      <c r="A455" s="36">
        <v>443</v>
      </c>
      <c r="B455">
        <v>8.916269746363005</v>
      </c>
      <c r="C455" s="27">
        <v>8.9160373732031992</v>
      </c>
      <c r="D455" s="88">
        <f t="shared" si="7"/>
        <v>0.10294130979393934</v>
      </c>
      <c r="E455" s="94">
        <v>6.6866744868617324E-3</v>
      </c>
    </row>
    <row r="456" spans="1:5">
      <c r="A456" s="36">
        <v>444</v>
      </c>
      <c r="B456">
        <v>8.9162887576170959</v>
      </c>
      <c r="C456" s="27">
        <v>8.9160373732031992</v>
      </c>
      <c r="D456" s="88">
        <f t="shared" si="7"/>
        <v>0.11161467977014183</v>
      </c>
      <c r="E456" s="94">
        <v>6.6716144091886215E-3</v>
      </c>
    </row>
    <row r="457" spans="1:5">
      <c r="A457" s="36">
        <v>445</v>
      </c>
      <c r="B457">
        <v>8.9163075652740407</v>
      </c>
      <c r="C457" s="27">
        <v>8.9160373732031992</v>
      </c>
      <c r="D457" s="88">
        <f t="shared" si="7"/>
        <v>0.12023547152444358</v>
      </c>
      <c r="E457" s="94">
        <v>6.656622017257861E-3</v>
      </c>
    </row>
    <row r="458" spans="1:5">
      <c r="A458" s="36">
        <v>446</v>
      </c>
      <c r="B458">
        <v>8.9163261710983388</v>
      </c>
      <c r="C458" s="27">
        <v>8.9160373732031992</v>
      </c>
      <c r="D458" s="88">
        <f t="shared" si="7"/>
        <v>0.12880386123225307</v>
      </c>
      <c r="E458" s="94">
        <v>6.6416968557841882E-3</v>
      </c>
    </row>
    <row r="459" spans="1:5">
      <c r="A459" s="36">
        <v>447</v>
      </c>
      <c r="B459">
        <v>8.9163445768359022</v>
      </c>
      <c r="C459" s="27">
        <v>8.9160373732031992</v>
      </c>
      <c r="D459" s="88">
        <f t="shared" si="7"/>
        <v>0.13732002381823172</v>
      </c>
      <c r="E459" s="94">
        <v>6.6268384735564826E-3</v>
      </c>
    </row>
    <row r="460" spans="1:5">
      <c r="A460" s="36">
        <v>448</v>
      </c>
      <c r="B460">
        <v>8.9163627841884523</v>
      </c>
      <c r="C460" s="27">
        <v>8.9160373732031992</v>
      </c>
      <c r="D460" s="88">
        <f t="shared" si="7"/>
        <v>0.14578412139337615</v>
      </c>
      <c r="E460" s="94">
        <v>6.6120464233922933E-3</v>
      </c>
    </row>
    <row r="461" spans="1:5">
      <c r="A461" s="36">
        <v>449</v>
      </c>
      <c r="B461">
        <v>8.9163807948698395</v>
      </c>
      <c r="C461" s="27">
        <v>8.9160373732031992</v>
      </c>
      <c r="D461" s="88">
        <f t="shared" si="7"/>
        <v>0.15419632832147379</v>
      </c>
      <c r="E461" s="94">
        <v>6.5973202620929795E-3</v>
      </c>
    </row>
    <row r="462" spans="1:5">
      <c r="A462" s="36">
        <v>450</v>
      </c>
      <c r="B462">
        <v>8.9163986105608206</v>
      </c>
      <c r="C462" s="27">
        <v>8.9160373732031992</v>
      </c>
      <c r="D462" s="88">
        <f t="shared" si="7"/>
        <v>0.16255681092962604</v>
      </c>
      <c r="E462" s="94">
        <v>6.5826595503994398E-3</v>
      </c>
    </row>
    <row r="463" spans="1:5">
      <c r="A463" s="36">
        <v>451</v>
      </c>
      <c r="B463">
        <v>8.9164162329290804</v>
      </c>
      <c r="C463" s="27">
        <v>8.9160373732031992</v>
      </c>
      <c r="D463" s="88">
        <f t="shared" si="7"/>
        <v>0.17086573637239511</v>
      </c>
      <c r="E463" s="94">
        <v>6.5680638529484426E-3</v>
      </c>
    </row>
    <row r="464" spans="1:5">
      <c r="A464" s="36">
        <v>452</v>
      </c>
      <c r="B464">
        <v>8.9164336636299382</v>
      </c>
      <c r="C464" s="27">
        <v>8.9160373732031992</v>
      </c>
      <c r="D464" s="88">
        <f t="shared" si="7"/>
        <v>0.17912327288600238</v>
      </c>
      <c r="E464" s="94">
        <v>6.5535327382295304E-3</v>
      </c>
    </row>
    <row r="465" spans="1:5">
      <c r="A465" s="36">
        <v>453</v>
      </c>
      <c r="B465">
        <v>8.916450904286723</v>
      </c>
      <c r="C465" s="27">
        <v>8.9160373732031992</v>
      </c>
      <c r="D465" s="88">
        <f t="shared" si="7"/>
        <v>0.18732958083629114</v>
      </c>
      <c r="E465" s="94">
        <v>6.5390657785424893E-3</v>
      </c>
    </row>
    <row r="466" spans="1:5">
      <c r="A466" s="36">
        <v>454</v>
      </c>
      <c r="B466">
        <v>8.9164679565396998</v>
      </c>
      <c r="C466" s="27">
        <v>8.9160373732031992</v>
      </c>
      <c r="D466" s="88">
        <f t="shared" si="7"/>
        <v>0.19548483477126766</v>
      </c>
      <c r="E466" s="94">
        <v>6.5246625499553925E-3</v>
      </c>
    </row>
    <row r="467" spans="1:5">
      <c r="A467" s="36">
        <v>455</v>
      </c>
      <c r="B467">
        <v>8.9164848219769919</v>
      </c>
      <c r="C467" s="27">
        <v>8.9160373732031992</v>
      </c>
      <c r="D467" s="88">
        <f t="shared" si="7"/>
        <v>0.2035891920756594</v>
      </c>
      <c r="E467" s="94">
        <v>6.5103226322631817E-3</v>
      </c>
    </row>
    <row r="468" spans="1:5">
      <c r="A468" s="36">
        <v>456</v>
      </c>
      <c r="B468">
        <v>8.9165015021824683</v>
      </c>
      <c r="C468" s="27">
        <v>8.9160373732031992</v>
      </c>
      <c r="D468" s="88">
        <f t="shared" si="7"/>
        <v>0.21164281454669265</v>
      </c>
      <c r="E468" s="94">
        <v>6.4960456089468146E-3</v>
      </c>
    </row>
    <row r="469" spans="1:5">
      <c r="A469" s="36">
        <v>457</v>
      </c>
      <c r="B469">
        <v>8.9165179987285725</v>
      </c>
      <c r="C469" s="27">
        <v>8.9160373732031992</v>
      </c>
      <c r="D469" s="88">
        <f t="shared" si="7"/>
        <v>0.21964586509560391</v>
      </c>
      <c r="E469" s="94">
        <v>6.4818310671329272E-3</v>
      </c>
    </row>
    <row r="470" spans="1:5">
      <c r="A470" s="36">
        <v>458</v>
      </c>
      <c r="B470">
        <v>8.916534313179536</v>
      </c>
      <c r="C470" s="27">
        <v>8.9160373732031992</v>
      </c>
      <c r="D470" s="88">
        <f t="shared" si="7"/>
        <v>0.22759850916226299</v>
      </c>
      <c r="E470" s="94">
        <v>6.4676785975540342E-3</v>
      </c>
    </row>
    <row r="471" spans="1:5">
      <c r="A471" s="36">
        <v>459</v>
      </c>
      <c r="B471">
        <v>8.9165504470580679</v>
      </c>
      <c r="C471" s="27">
        <v>8.9160373732031992</v>
      </c>
      <c r="D471" s="88">
        <f t="shared" si="7"/>
        <v>0.23550089938471075</v>
      </c>
      <c r="E471" s="94">
        <v>6.4535877945092555E-3</v>
      </c>
    </row>
    <row r="472" spans="1:5">
      <c r="A472" s="36">
        <v>460</v>
      </c>
      <c r="B472">
        <v>8.9165664018996296</v>
      </c>
      <c r="C472" s="27">
        <v>8.9160373732031992</v>
      </c>
      <c r="D472" s="88">
        <f t="shared" si="7"/>
        <v>0.2433532003579586</v>
      </c>
      <c r="E472" s="94">
        <v>6.4395582558255393E-3</v>
      </c>
    </row>
    <row r="473" spans="1:5">
      <c r="A473" s="36">
        <v>461</v>
      </c>
      <c r="B473">
        <v>8.9165821792183397</v>
      </c>
      <c r="C473" s="27">
        <v>8.9160373732031992</v>
      </c>
      <c r="D473" s="88">
        <f t="shared" si="7"/>
        <v>0.25115557297977453</v>
      </c>
      <c r="E473" s="94">
        <v>6.4255895828194097E-3</v>
      </c>
    </row>
    <row r="474" spans="1:5">
      <c r="A474" s="36">
        <v>462</v>
      </c>
      <c r="B474">
        <v>8.9165977804999077</v>
      </c>
      <c r="C474" s="27">
        <v>8.9160373732031992</v>
      </c>
      <c r="D474" s="88">
        <f t="shared" si="7"/>
        <v>0.25890817107931596</v>
      </c>
      <c r="E474" s="94">
        <v>6.4116813802591946E-3</v>
      </c>
    </row>
    <row r="475" spans="1:5">
      <c r="A475" s="36">
        <v>463</v>
      </c>
      <c r="B475">
        <v>8.9166132072237225</v>
      </c>
      <c r="C475" s="27">
        <v>8.9160373732031992</v>
      </c>
      <c r="D475" s="88">
        <f t="shared" si="7"/>
        <v>0.26661115150228909</v>
      </c>
      <c r="E475" s="94">
        <v>6.3978332563277493E-3</v>
      </c>
    </row>
    <row r="476" spans="1:5">
      <c r="A476" s="36">
        <v>464</v>
      </c>
      <c r="B476">
        <v>8.9166284608568205</v>
      </c>
      <c r="C476" s="27">
        <v>8.9160373732031992</v>
      </c>
      <c r="D476" s="88">
        <f t="shared" si="7"/>
        <v>0.27426467128026388</v>
      </c>
      <c r="E476" s="94">
        <v>6.384044822585663E-3</v>
      </c>
    </row>
    <row r="477" spans="1:5">
      <c r="A477" s="36">
        <v>465</v>
      </c>
      <c r="B477">
        <v>8.9166435428613049</v>
      </c>
      <c r="C477" s="27">
        <v>8.9160373732031992</v>
      </c>
      <c r="D477" s="88">
        <f t="shared" si="7"/>
        <v>0.28186889101913692</v>
      </c>
      <c r="E477" s="94">
        <v>6.3703156939349413E-3</v>
      </c>
    </row>
    <row r="478" spans="1:5">
      <c r="A478" s="36">
        <v>466</v>
      </c>
      <c r="B478">
        <v>8.9166584546516265</v>
      </c>
      <c r="C478" s="27">
        <v>8.9160373732031992</v>
      </c>
      <c r="D478" s="88">
        <f t="shared" si="7"/>
        <v>0.28942395496713047</v>
      </c>
      <c r="E478" s="94">
        <v>6.3566454885831498E-3</v>
      </c>
    </row>
    <row r="479" spans="1:5">
      <c r="A479" s="36">
        <v>467</v>
      </c>
      <c r="B479">
        <v>8.9166731976675315</v>
      </c>
      <c r="C479" s="27">
        <v>8.9160373732031992</v>
      </c>
      <c r="D479" s="88">
        <f t="shared" si="7"/>
        <v>0.29693002484318498</v>
      </c>
      <c r="E479" s="94">
        <v>6.3430338280080255E-3</v>
      </c>
    </row>
    <row r="480" spans="1:5">
      <c r="A480" s="36">
        <v>468</v>
      </c>
      <c r="B480">
        <v>8.9166877733098975</v>
      </c>
      <c r="C480" s="27">
        <v>8.9160373732031992</v>
      </c>
      <c r="D480" s="88">
        <f t="shared" si="7"/>
        <v>0.30438724993478417</v>
      </c>
      <c r="E480" s="94">
        <v>6.3294803369225387E-3</v>
      </c>
    </row>
    <row r="481" spans="1:5">
      <c r="A481" s="36">
        <v>469</v>
      </c>
      <c r="B481">
        <v>8.9167021829798276</v>
      </c>
      <c r="C481" s="27">
        <v>8.9160373732031992</v>
      </c>
      <c r="D481" s="88">
        <f t="shared" si="7"/>
        <v>0.31179578523872742</v>
      </c>
      <c r="E481" s="94">
        <v>6.3159846432404004E-3</v>
      </c>
    </row>
    <row r="482" spans="1:5">
      <c r="A482" s="36">
        <v>470</v>
      </c>
      <c r="B482">
        <v>8.9167164280519646</v>
      </c>
      <c r="C482" s="27">
        <v>8.9160373732031992</v>
      </c>
      <c r="D482" s="88">
        <f t="shared" si="7"/>
        <v>0.31915577891973967</v>
      </c>
      <c r="E482" s="94">
        <v>6.302546378042017E-3</v>
      </c>
    </row>
    <row r="483" spans="1:5">
      <c r="A483" s="36">
        <v>471</v>
      </c>
      <c r="B483">
        <v>8.9167305099064613</v>
      </c>
      <c r="C483" s="27">
        <v>8.9160373732031992</v>
      </c>
      <c r="D483" s="88">
        <f t="shared" si="7"/>
        <v>0.3264673872364483</v>
      </c>
      <c r="E483" s="94">
        <v>6.2891651755408659E-3</v>
      </c>
    </row>
    <row r="484" spans="1:5">
      <c r="A484" s="36">
        <v>472</v>
      </c>
      <c r="B484">
        <v>8.9167444298799481</v>
      </c>
      <c r="C484" s="27">
        <v>8.9160373732031992</v>
      </c>
      <c r="D484" s="88">
        <f t="shared" si="7"/>
        <v>0.33373075142546327</v>
      </c>
      <c r="E484" s="94">
        <v>6.2758406730503129E-3</v>
      </c>
    </row>
    <row r="485" spans="1:5">
      <c r="A485" s="36">
        <v>473</v>
      </c>
      <c r="B485">
        <v>8.9167581893317731</v>
      </c>
      <c r="C485" s="27">
        <v>8.9160373732031992</v>
      </c>
      <c r="D485" s="88">
        <f t="shared" si="7"/>
        <v>0.34094602881544844</v>
      </c>
      <c r="E485" s="94">
        <v>6.2625725109508416E-3</v>
      </c>
    </row>
    <row r="486" spans="1:5">
      <c r="A486" s="36">
        <v>474</v>
      </c>
      <c r="B486">
        <v>8.9167717895815954</v>
      </c>
      <c r="C486" s="27">
        <v>8.9160373732031992</v>
      </c>
      <c r="D486" s="88">
        <f t="shared" si="7"/>
        <v>0.34811336335980769</v>
      </c>
      <c r="E486" s="94">
        <v>6.2493603326576955E-3</v>
      </c>
    </row>
    <row r="487" spans="1:5">
      <c r="A487" s="36">
        <v>475</v>
      </c>
      <c r="B487">
        <v>8.9167852319399383</v>
      </c>
      <c r="C487" s="27">
        <v>8.9160373732031992</v>
      </c>
      <c r="D487" s="88">
        <f t="shared" si="7"/>
        <v>0.35523289995107454</v>
      </c>
      <c r="E487" s="94">
        <v>6.2362037845889425E-3</v>
      </c>
    </row>
    <row r="488" spans="1:5">
      <c r="A488" s="36">
        <v>476</v>
      </c>
      <c r="B488">
        <v>8.9167985177187283</v>
      </c>
      <c r="C488" s="27">
        <v>8.9160373732031992</v>
      </c>
      <c r="D488" s="88">
        <f t="shared" si="7"/>
        <v>0.36230478939185673</v>
      </c>
      <c r="E488" s="94">
        <v>6.2231025161339241E-3</v>
      </c>
    </row>
    <row r="489" spans="1:5">
      <c r="A489" s="36">
        <v>477</v>
      </c>
      <c r="B489">
        <v>8.9168116482172266</v>
      </c>
      <c r="C489" s="27">
        <v>8.9160373732031992</v>
      </c>
      <c r="D489" s="88">
        <f t="shared" si="7"/>
        <v>0.36932918169106088</v>
      </c>
      <c r="E489" s="94">
        <v>6.2100561796221126E-3</v>
      </c>
    </row>
    <row r="490" spans="1:5">
      <c r="A490" s="36">
        <v>478</v>
      </c>
      <c r="B490">
        <v>8.9168246246919001</v>
      </c>
      <c r="C490" s="27">
        <v>8.9160373732031992</v>
      </c>
      <c r="D490" s="88">
        <f t="shared" si="7"/>
        <v>0.37630621159900457</v>
      </c>
      <c r="E490" s="94">
        <v>6.1970644302923594E-3</v>
      </c>
    </row>
    <row r="491" spans="1:5">
      <c r="A491" s="36">
        <v>479</v>
      </c>
      <c r="B491">
        <v>8.9168374484316839</v>
      </c>
      <c r="C491" s="27">
        <v>8.9160373732031992</v>
      </c>
      <c r="D491" s="88">
        <f t="shared" si="7"/>
        <v>0.38323603444416499</v>
      </c>
      <c r="E491" s="94">
        <v>6.1841269262625205E-3</v>
      </c>
    </row>
    <row r="492" spans="1:5">
      <c r="A492" s="36">
        <v>480</v>
      </c>
      <c r="B492">
        <v>8.9168501206717306</v>
      </c>
      <c r="C492" s="27">
        <v>8.9160373732031992</v>
      </c>
      <c r="D492" s="88">
        <f t="shared" si="7"/>
        <v>0.39011878489503715</v>
      </c>
      <c r="E492" s="94">
        <v>6.1712433284994749E-3</v>
      </c>
    </row>
    <row r="493" spans="1:5">
      <c r="A493" s="36">
        <v>481</v>
      </c>
      <c r="B493">
        <v>8.9168626426744542</v>
      </c>
      <c r="C493" s="27">
        <v>8.9160373732031992</v>
      </c>
      <c r="D493" s="88">
        <f t="shared" si="7"/>
        <v>0.39695461567362678</v>
      </c>
      <c r="E493" s="94">
        <v>6.1584133007894963E-3</v>
      </c>
    </row>
    <row r="494" spans="1:5">
      <c r="A494" s="36">
        <v>482</v>
      </c>
      <c r="B494">
        <v>8.916875015646319</v>
      </c>
      <c r="C494" s="27">
        <v>8.9160373732031992</v>
      </c>
      <c r="D494" s="88">
        <f t="shared" si="7"/>
        <v>0.40374365758373898</v>
      </c>
      <c r="E494" s="94">
        <v>6.145636509709021E-3</v>
      </c>
    </row>
    <row r="495" spans="1:5">
      <c r="A495" s="36">
        <v>483</v>
      </c>
      <c r="B495">
        <v>8.9168872408311994</v>
      </c>
      <c r="C495" s="27">
        <v>8.9160373732031992</v>
      </c>
      <c r="D495" s="88">
        <f t="shared" si="7"/>
        <v>0.41048606432410217</v>
      </c>
      <c r="E495" s="94">
        <v>6.1329126245957518E-3</v>
      </c>
    </row>
    <row r="496" spans="1:5">
      <c r="A496" s="36">
        <v>484</v>
      </c>
      <c r="B496">
        <v>8.9168993194118453</v>
      </c>
      <c r="C496" s="27">
        <v>8.9160373732031992</v>
      </c>
      <c r="D496" s="88">
        <f t="shared" si="7"/>
        <v>0.41718196498471372</v>
      </c>
      <c r="E496" s="94">
        <v>6.1202413175201397E-3</v>
      </c>
    </row>
    <row r="497" spans="1:5">
      <c r="A497" s="36">
        <v>485</v>
      </c>
      <c r="B497">
        <v>8.9169112526029206</v>
      </c>
      <c r="C497" s="27">
        <v>8.9160373732031992</v>
      </c>
      <c r="D497" s="88">
        <f t="shared" ref="D497:D511" si="8">(B497-C497)*A497</f>
        <v>0.42383150886487364</v>
      </c>
      <c r="E497" s="94">
        <v>6.1076222632572121E-3</v>
      </c>
    </row>
    <row r="498" spans="1:5">
      <c r="A498" s="36">
        <v>486</v>
      </c>
      <c r="B498">
        <v>8.9169230415893814</v>
      </c>
      <c r="C498" s="27">
        <v>8.9160373732031992</v>
      </c>
      <c r="D498" s="88">
        <f t="shared" si="8"/>
        <v>0.43043483568455088</v>
      </c>
      <c r="E498" s="94">
        <v>6.0950551392587411E-3</v>
      </c>
    </row>
    <row r="499" spans="1:5">
      <c r="A499" s="36">
        <v>487</v>
      </c>
      <c r="B499">
        <v>8.916934687527327</v>
      </c>
      <c r="C499" s="27">
        <v>8.9160373732031992</v>
      </c>
      <c r="D499" s="88">
        <f t="shared" si="8"/>
        <v>0.43699207585022037</v>
      </c>
      <c r="E499" s="94">
        <v>6.0825396256257653E-3</v>
      </c>
    </row>
    <row r="500" spans="1:5">
      <c r="A500" s="36">
        <v>488</v>
      </c>
      <c r="B500">
        <v>8.9169461915950965</v>
      </c>
      <c r="C500" s="27">
        <v>8.9160373732031992</v>
      </c>
      <c r="D500" s="88">
        <f t="shared" si="8"/>
        <v>0.44350337524586791</v>
      </c>
      <c r="E500" s="94">
        <v>6.0700754050814513E-3</v>
      </c>
    </row>
    <row r="501" spans="1:5">
      <c r="A501" s="36">
        <v>489</v>
      </c>
      <c r="B501">
        <v>8.916957554943302</v>
      </c>
      <c r="C501" s="27">
        <v>8.9160373732031992</v>
      </c>
      <c r="D501" s="88">
        <f t="shared" si="8"/>
        <v>0.44996887091025783</v>
      </c>
      <c r="E501" s="94">
        <v>6.0576621629442702E-3</v>
      </c>
    </row>
    <row r="502" spans="1:5">
      <c r="A502" s="36">
        <v>490</v>
      </c>
      <c r="B502">
        <v>8.9169687787034224</v>
      </c>
      <c r="C502" s="27">
        <v>8.9160373732031992</v>
      </c>
      <c r="D502" s="88">
        <f t="shared" si="8"/>
        <v>0.45638869510936431</v>
      </c>
      <c r="E502" s="94">
        <v>6.0452995871015268E-3</v>
      </c>
    </row>
    <row r="503" spans="1:5">
      <c r="A503" s="36">
        <v>491</v>
      </c>
      <c r="B503">
        <v>8.9169798640087414</v>
      </c>
      <c r="C503" s="27">
        <v>8.9160373732031992</v>
      </c>
      <c r="D503" s="88">
        <f t="shared" si="8"/>
        <v>0.46276298552122341</v>
      </c>
      <c r="E503" s="94">
        <v>6.0329873679831926E-3</v>
      </c>
    </row>
    <row r="504" spans="1:5">
      <c r="A504" s="36">
        <v>492</v>
      </c>
      <c r="B504">
        <v>8.9169908119834798</v>
      </c>
      <c r="C504" s="27">
        <v>8.9160373732031992</v>
      </c>
      <c r="D504" s="88">
        <f t="shared" si="8"/>
        <v>0.46909187989802348</v>
      </c>
      <c r="E504" s="94">
        <v>6.0207251985360741E-3</v>
      </c>
    </row>
    <row r="505" spans="1:5">
      <c r="A505" s="36">
        <v>493</v>
      </c>
      <c r="B505">
        <v>8.9170016237347252</v>
      </c>
      <c r="C505" s="27">
        <v>8.9160373732031992</v>
      </c>
      <c r="D505" s="88">
        <f t="shared" si="8"/>
        <v>0.47537551204228556</v>
      </c>
      <c r="E505" s="94">
        <v>6.0085127741982712E-3</v>
      </c>
    </row>
    <row r="506" spans="1:5">
      <c r="A506" s="36">
        <v>494</v>
      </c>
      <c r="B506">
        <v>8.9170123003564452</v>
      </c>
      <c r="C506" s="27">
        <v>8.9160373732031992</v>
      </c>
      <c r="D506" s="88">
        <f t="shared" si="8"/>
        <v>0.48161401370351697</v>
      </c>
      <c r="E506" s="94">
        <v>5.9963497928739833E-3</v>
      </c>
    </row>
    <row r="507" spans="1:5">
      <c r="A507" s="36">
        <v>495</v>
      </c>
      <c r="B507">
        <v>8.9170228429498835</v>
      </c>
      <c r="C507" s="27">
        <v>8.9160373732031992</v>
      </c>
      <c r="D507" s="88">
        <f t="shared" si="8"/>
        <v>0.48780752460869437</v>
      </c>
      <c r="E507" s="94">
        <v>5.9842359549085811E-3</v>
      </c>
    </row>
    <row r="508" spans="1:5">
      <c r="A508" s="36">
        <v>496</v>
      </c>
      <c r="B508">
        <v>8.9170332525769762</v>
      </c>
      <c r="C508" s="27">
        <v>8.9160373732031992</v>
      </c>
      <c r="D508" s="88">
        <f t="shared" si="8"/>
        <v>0.49395616939338538</v>
      </c>
      <c r="E508" s="94">
        <v>5.9721709630640076E-3</v>
      </c>
    </row>
    <row r="509" spans="1:5">
      <c r="A509" s="36">
        <v>497</v>
      </c>
      <c r="B509">
        <v>8.917043530312986</v>
      </c>
      <c r="C509" s="27">
        <v>8.9160373732031992</v>
      </c>
      <c r="D509" s="88">
        <f t="shared" si="8"/>
        <v>0.50006008356403875</v>
      </c>
      <c r="E509" s="94">
        <v>5.9601545224944631E-3</v>
      </c>
    </row>
    <row r="510" spans="1:5">
      <c r="A510" s="36">
        <v>498</v>
      </c>
      <c r="B510">
        <v>8.9170536772243789</v>
      </c>
      <c r="C510" s="27">
        <v>8.9160373732031992</v>
      </c>
      <c r="D510" s="88">
        <f t="shared" si="8"/>
        <v>0.50611940254748689</v>
      </c>
      <c r="E510" s="94">
        <v>5.9481863407223846E-3</v>
      </c>
    </row>
    <row r="511" spans="1:5">
      <c r="A511" s="36">
        <v>499</v>
      </c>
      <c r="B511">
        <v>8.917063694349908</v>
      </c>
      <c r="C511" s="27">
        <v>8.9160373732031992</v>
      </c>
      <c r="D511" s="88">
        <f t="shared" si="8"/>
        <v>0.51213425220766773</v>
      </c>
      <c r="E511" s="94">
        <v>5.9362661276147251E-3</v>
      </c>
    </row>
    <row r="512" spans="1:5" ht="15.75" thickBot="1">
      <c r="A512" s="89">
        <v>500</v>
      </c>
      <c r="B512" s="90">
        <v>8.9170735827268288</v>
      </c>
      <c r="C512" s="91">
        <v>8.9160373732031992</v>
      </c>
      <c r="D512" s="91">
        <f>(B512-C512)*A512</f>
        <v>0.51810476181479714</v>
      </c>
      <c r="E512" s="94">
        <v>5.9243935953594952E-3</v>
      </c>
    </row>
  </sheetData>
  <dataConsolidate/>
  <mergeCells count="1">
    <mergeCell ref="A1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reevsbs1">
                <anchor moveWithCells="1" sizeWithCells="1">
                  <from>
                    <xdr:col>0</xdr:col>
                    <xdr:colOff>1200150</xdr:colOff>
                    <xdr:row>5</xdr:row>
                    <xdr:rowOff>66675</xdr:rowOff>
                  </from>
                  <to>
                    <xdr:col>4</xdr:col>
                    <xdr:colOff>447675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58957-5363-4E1D-8A8E-19F70D14118D}">
  <sheetPr codeName="Feuil1">
    <tabColor rgb="FFFF0000"/>
  </sheetPr>
  <dimension ref="A1:J32"/>
  <sheetViews>
    <sheetView showGridLines="0" zoomScale="83" zoomScaleNormal="70" workbookViewId="0">
      <selection activeCell="B22" sqref="B22"/>
    </sheetView>
  </sheetViews>
  <sheetFormatPr defaultColWidth="11.42578125" defaultRowHeight="15"/>
  <sheetData>
    <row r="1" spans="1:10">
      <c r="A1" s="139" t="s">
        <v>35</v>
      </c>
      <c r="B1" s="139"/>
      <c r="C1" s="139"/>
      <c r="D1" s="72"/>
      <c r="E1" s="72"/>
    </row>
    <row r="2" spans="1:10">
      <c r="A2" s="139"/>
      <c r="B2" s="139"/>
      <c r="C2" s="139"/>
      <c r="D2" s="72"/>
      <c r="E2" s="72"/>
    </row>
    <row r="3" spans="1:10" ht="31.5">
      <c r="A3" s="71"/>
      <c r="B3" s="71"/>
      <c r="C3" s="71"/>
      <c r="D3" s="72"/>
      <c r="E3" s="72"/>
      <c r="F3" s="74" t="str">
        <f>Pricer!A2</f>
        <v>European Call @ 100 with 25 steps (IR=2%,  Vol=20%, Div=25 and Maturity=1 year(s))</v>
      </c>
      <c r="G3" s="12"/>
      <c r="H3" s="12"/>
      <c r="I3" s="12"/>
      <c r="J3" s="12"/>
    </row>
    <row r="4" spans="1:10" ht="31.5">
      <c r="A4" s="71"/>
      <c r="B4" s="71"/>
      <c r="C4" s="71"/>
      <c r="D4" s="72"/>
      <c r="E4" s="72"/>
      <c r="F4" s="12"/>
      <c r="G4" s="12"/>
      <c r="H4" s="12"/>
      <c r="I4" s="12"/>
      <c r="J4" s="12"/>
    </row>
    <row r="5" spans="1:10" ht="31.5">
      <c r="A5" s="71"/>
      <c r="B5" s="71"/>
      <c r="C5" s="71"/>
      <c r="D5" s="72"/>
      <c r="E5" s="72"/>
    </row>
    <row r="6" spans="1:10" ht="31.5">
      <c r="A6" s="71"/>
      <c r="B6" s="71"/>
      <c r="C6" s="71"/>
      <c r="D6" s="72"/>
      <c r="E6" s="72"/>
    </row>
    <row r="8" spans="1:10" ht="15.75" thickBot="1"/>
    <row r="9" spans="1:10" ht="15.75" thickBot="1">
      <c r="A9" s="84" t="s">
        <v>14</v>
      </c>
      <c r="B9" s="85" t="s">
        <v>27</v>
      </c>
      <c r="C9" s="85" t="s">
        <v>32</v>
      </c>
      <c r="D9" s="85" t="s">
        <v>36</v>
      </c>
      <c r="E9" s="85" t="s">
        <v>37</v>
      </c>
      <c r="F9" s="86" t="s">
        <v>38</v>
      </c>
    </row>
    <row r="10" spans="1:10">
      <c r="A10" s="25">
        <v>89</v>
      </c>
      <c r="B10" s="81">
        <v>15.537124463504059</v>
      </c>
      <c r="C10" s="82">
        <v>15.502859672568913</v>
      </c>
      <c r="D10" s="82">
        <f>B10-C10</f>
        <v>3.4264790935145228E-2</v>
      </c>
      <c r="E10" s="82"/>
      <c r="F10" s="83"/>
    </row>
    <row r="11" spans="1:10">
      <c r="A11" s="23">
        <v>90</v>
      </c>
      <c r="B11" s="26">
        <v>14.797870381461104</v>
      </c>
      <c r="C11" s="27">
        <v>14.806507079369023</v>
      </c>
      <c r="D11" s="27">
        <f t="shared" ref="D11:D31" si="0">B11-C11</f>
        <v>-8.6366979079190997E-3</v>
      </c>
      <c r="E11" s="27">
        <f>(C11-C10)/(A11-A10)</f>
        <v>-0.69635259319989018</v>
      </c>
      <c r="F11" s="28">
        <f>(B11-B10)/(A11-A10)</f>
        <v>-0.73925408204295451</v>
      </c>
    </row>
    <row r="12" spans="1:10">
      <c r="A12" s="23">
        <v>91</v>
      </c>
      <c r="B12" s="26">
        <v>14.05861629941815</v>
      </c>
      <c r="C12" s="27">
        <v>14.129059704956139</v>
      </c>
      <c r="D12" s="27">
        <f t="shared" si="0"/>
        <v>-7.0443405537989889E-2</v>
      </c>
      <c r="E12" s="27">
        <f t="shared" ref="E12:E30" si="1">(C12-C11)/(A12-A11)</f>
        <v>-0.67744737441288372</v>
      </c>
      <c r="F12" s="28">
        <f t="shared" ref="F12:F31" si="2">(B12-B11)/(A12-A11)</f>
        <v>-0.73925408204295451</v>
      </c>
    </row>
    <row r="13" spans="1:10">
      <c r="A13" s="23">
        <v>92</v>
      </c>
      <c r="B13" s="26">
        <v>13.334168307705323</v>
      </c>
      <c r="C13" s="27">
        <v>13.470832634078754</v>
      </c>
      <c r="D13" s="27">
        <f t="shared" si="0"/>
        <v>-0.13666432637343107</v>
      </c>
      <c r="E13" s="27">
        <f t="shared" si="1"/>
        <v>-0.65822707087738586</v>
      </c>
      <c r="F13" s="28">
        <f t="shared" si="2"/>
        <v>-0.72444799171282703</v>
      </c>
    </row>
    <row r="14" spans="1:10">
      <c r="A14" s="23">
        <v>93</v>
      </c>
      <c r="B14" s="26">
        <v>12.781134727799003</v>
      </c>
      <c r="C14" s="27">
        <v>12.832084129928448</v>
      </c>
      <c r="D14" s="27">
        <f t="shared" si="0"/>
        <v>-5.0949402129445431E-2</v>
      </c>
      <c r="E14" s="27">
        <f t="shared" si="1"/>
        <v>-0.63874850415030515</v>
      </c>
      <c r="F14" s="28">
        <f t="shared" si="2"/>
        <v>-0.55303357990631952</v>
      </c>
    </row>
    <row r="15" spans="1:10">
      <c r="A15" s="23">
        <v>94</v>
      </c>
      <c r="B15" s="26">
        <v>12.228101147892689</v>
      </c>
      <c r="C15" s="27">
        <v>12.213015205649356</v>
      </c>
      <c r="D15" s="27">
        <f t="shared" si="0"/>
        <v>1.508594224333315E-2</v>
      </c>
      <c r="E15" s="27">
        <f t="shared" si="1"/>
        <v>-0.61906892427909277</v>
      </c>
      <c r="F15" s="28">
        <f t="shared" si="2"/>
        <v>-0.55303357990631419</v>
      </c>
    </row>
    <row r="16" spans="1:10">
      <c r="A16" s="23">
        <v>95</v>
      </c>
      <c r="B16" s="26">
        <v>11.675067567986371</v>
      </c>
      <c r="C16" s="27">
        <v>11.613769714225834</v>
      </c>
      <c r="D16" s="27">
        <f t="shared" si="0"/>
        <v>6.1297853760537535E-2</v>
      </c>
      <c r="E16" s="27">
        <f t="shared" si="1"/>
        <v>-0.59924549142352213</v>
      </c>
      <c r="F16" s="28">
        <f t="shared" si="2"/>
        <v>-0.55303357990631774</v>
      </c>
    </row>
    <row r="17" spans="1:6">
      <c r="A17" s="23">
        <v>96</v>
      </c>
      <c r="B17" s="26">
        <v>11.122033988080057</v>
      </c>
      <c r="C17" s="27">
        <v>11.034434928245911</v>
      </c>
      <c r="D17" s="27">
        <f t="shared" si="0"/>
        <v>8.7599059834145621E-2</v>
      </c>
      <c r="E17" s="27">
        <f t="shared" si="1"/>
        <v>-0.57933478597992227</v>
      </c>
      <c r="F17" s="28">
        <f t="shared" si="2"/>
        <v>-0.55303357990631419</v>
      </c>
    </row>
    <row r="18" spans="1:6">
      <c r="A18" s="23">
        <v>97</v>
      </c>
      <c r="B18" s="26">
        <v>10.569000408173741</v>
      </c>
      <c r="C18" s="27">
        <v>10.475042575850082</v>
      </c>
      <c r="D18" s="27">
        <f t="shared" si="0"/>
        <v>9.3957832323658508E-2</v>
      </c>
      <c r="E18" s="27">
        <f t="shared" si="1"/>
        <v>-0.55939235239582885</v>
      </c>
      <c r="F18" s="28">
        <f t="shared" si="2"/>
        <v>-0.55303357990631596</v>
      </c>
    </row>
    <row r="19" spans="1:6">
      <c r="A19" s="23">
        <v>98</v>
      </c>
      <c r="B19" s="26">
        <v>10.015966828267425</v>
      </c>
      <c r="C19" s="27">
        <v>9.9355702950193869</v>
      </c>
      <c r="D19" s="27">
        <f t="shared" si="0"/>
        <v>8.0396533248038082E-2</v>
      </c>
      <c r="E19" s="27">
        <f t="shared" si="1"/>
        <v>-0.53947228083069554</v>
      </c>
      <c r="F19" s="28">
        <f t="shared" si="2"/>
        <v>-0.55303357990631596</v>
      </c>
    </row>
    <row r="20" spans="1:6">
      <c r="A20" s="23">
        <v>99</v>
      </c>
      <c r="B20" s="26">
        <v>9.4629332483611091</v>
      </c>
      <c r="C20" s="27">
        <v>9.4159434652139975</v>
      </c>
      <c r="D20" s="27">
        <f t="shared" si="0"/>
        <v>4.6989783147111552E-2</v>
      </c>
      <c r="E20" s="27">
        <f t="shared" si="1"/>
        <v>-0.51962682980538943</v>
      </c>
      <c r="F20" s="28">
        <f t="shared" si="2"/>
        <v>-0.55303357990631596</v>
      </c>
    </row>
    <row r="21" spans="1:6">
      <c r="A21" s="23">
        <v>100</v>
      </c>
      <c r="B21" s="26">
        <v>8.9098996684547931</v>
      </c>
      <c r="C21" s="27">
        <v>8.9160373732031992</v>
      </c>
      <c r="D21" s="27">
        <f t="shared" si="0"/>
        <v>-6.1377047484061364E-3</v>
      </c>
      <c r="E21" s="27">
        <f t="shared" si="1"/>
        <v>-0.49990609201079828</v>
      </c>
      <c r="F21" s="28">
        <f t="shared" si="2"/>
        <v>-0.55303357990631596</v>
      </c>
    </row>
    <row r="22" spans="1:6">
      <c r="A22" s="23">
        <v>101</v>
      </c>
      <c r="B22" s="26">
        <v>8.3568660885484771</v>
      </c>
      <c r="C22" s="27">
        <v>8.4356796686724422</v>
      </c>
      <c r="D22" s="27">
        <f t="shared" si="0"/>
        <v>-7.881358012396511E-2</v>
      </c>
      <c r="E22" s="27">
        <f t="shared" si="1"/>
        <v>-0.48035770453075699</v>
      </c>
      <c r="F22" s="28">
        <f t="shared" si="2"/>
        <v>-0.55303357990631596</v>
      </c>
    </row>
    <row r="23" spans="1:6">
      <c r="A23" s="23">
        <v>102</v>
      </c>
      <c r="B23" s="26">
        <v>7.8038325086421603</v>
      </c>
      <c r="C23" s="27">
        <v>7.9746530647818128</v>
      </c>
      <c r="D23" s="27">
        <f t="shared" si="0"/>
        <v>-0.17082055613965252</v>
      </c>
      <c r="E23" s="27">
        <f t="shared" si="1"/>
        <v>-0.46102660389062944</v>
      </c>
      <c r="F23" s="28">
        <f t="shared" si="2"/>
        <v>-0.55303357990631685</v>
      </c>
    </row>
    <row r="24" spans="1:6">
      <c r="A24" s="23">
        <v>103</v>
      </c>
      <c r="B24" s="26">
        <v>7.4489791845080244</v>
      </c>
      <c r="C24" s="27">
        <v>7.5326982391986039</v>
      </c>
      <c r="D24" s="27">
        <f t="shared" si="0"/>
        <v>-8.3719054690579497E-2</v>
      </c>
      <c r="E24" s="27">
        <f t="shared" si="1"/>
        <v>-0.44195482558320887</v>
      </c>
      <c r="F24" s="28">
        <f t="shared" si="2"/>
        <v>-0.35485332413413584</v>
      </c>
    </row>
    <row r="25" spans="1:6">
      <c r="A25" s="23">
        <v>104</v>
      </c>
      <c r="B25" s="26">
        <v>7.0981980108626876</v>
      </c>
      <c r="C25" s="27">
        <v>7.1095168921501344</v>
      </c>
      <c r="D25" s="27">
        <f t="shared" si="0"/>
        <v>-1.1318881287446736E-2</v>
      </c>
      <c r="E25" s="27">
        <f t="shared" si="1"/>
        <v>-0.42318134704846955</v>
      </c>
      <c r="F25" s="28">
        <f t="shared" si="2"/>
        <v>-0.35078117364533679</v>
      </c>
    </row>
    <row r="26" spans="1:6">
      <c r="A26" s="23">
        <v>105</v>
      </c>
      <c r="B26" s="26">
        <v>6.7474168372173491</v>
      </c>
      <c r="C26" s="27">
        <v>6.704774919645037</v>
      </c>
      <c r="D26" s="27">
        <f t="shared" si="0"/>
        <v>4.264191757231206E-2</v>
      </c>
      <c r="E26" s="27">
        <f t="shared" si="1"/>
        <v>-0.40474197250509736</v>
      </c>
      <c r="F26" s="28">
        <f t="shared" si="2"/>
        <v>-0.35078117364533856</v>
      </c>
    </row>
    <row r="27" spans="1:6">
      <c r="A27" s="23">
        <v>106</v>
      </c>
      <c r="B27" s="26">
        <v>6.3966356635720123</v>
      </c>
      <c r="C27" s="27">
        <v>6.3181056621016687</v>
      </c>
      <c r="D27" s="27">
        <f t="shared" si="0"/>
        <v>7.8530001470343613E-2</v>
      </c>
      <c r="E27" s="27">
        <f t="shared" si="1"/>
        <v>-0.38666925754336834</v>
      </c>
      <c r="F27" s="28">
        <f t="shared" si="2"/>
        <v>-0.35078117364533679</v>
      </c>
    </row>
    <row r="28" spans="1:6">
      <c r="A28" s="23">
        <v>107</v>
      </c>
      <c r="B28" s="26">
        <v>6.0458544899266746</v>
      </c>
      <c r="C28" s="27">
        <v>5.9491131911079131</v>
      </c>
      <c r="D28" s="27">
        <f t="shared" si="0"/>
        <v>9.6741298818761479E-2</v>
      </c>
      <c r="E28" s="27">
        <f t="shared" si="1"/>
        <v>-0.36899247099375554</v>
      </c>
      <c r="F28" s="28">
        <f t="shared" si="2"/>
        <v>-0.35078117364533767</v>
      </c>
    </row>
    <row r="29" spans="1:6">
      <c r="A29" s="23">
        <v>108</v>
      </c>
      <c r="B29" s="26">
        <v>5.695073316281337</v>
      </c>
      <c r="C29" s="27">
        <v>5.5973755998295456</v>
      </c>
      <c r="D29" s="27">
        <f t="shared" si="0"/>
        <v>9.7697716451791372E-2</v>
      </c>
      <c r="E29" s="27">
        <f t="shared" si="1"/>
        <v>-0.35173759127836757</v>
      </c>
      <c r="F29" s="28">
        <f t="shared" si="2"/>
        <v>-0.35078117364533767</v>
      </c>
    </row>
    <row r="30" spans="1:6">
      <c r="A30" s="23">
        <v>109</v>
      </c>
      <c r="B30" s="26">
        <v>5.3442921426359993</v>
      </c>
      <c r="C30" s="27">
        <v>5.2624482656006606</v>
      </c>
      <c r="D30" s="27">
        <f t="shared" si="0"/>
        <v>8.1843877035338686E-2</v>
      </c>
      <c r="E30" s="27">
        <f t="shared" si="1"/>
        <v>-0.33492733422888499</v>
      </c>
      <c r="F30" s="28">
        <f t="shared" si="2"/>
        <v>-0.35078117364533767</v>
      </c>
    </row>
    <row r="31" spans="1:6" ht="15.75" thickBot="1">
      <c r="A31" s="24">
        <v>110</v>
      </c>
      <c r="B31" s="29">
        <v>4.9935109689906625</v>
      </c>
      <c r="C31" s="30">
        <v>4.9438670563920715</v>
      </c>
      <c r="D31" s="30">
        <f t="shared" si="0"/>
        <v>4.9643912598591022E-2</v>
      </c>
      <c r="E31" s="30">
        <f>(C31-C30)/(A31-A30)</f>
        <v>-0.31858120920858912</v>
      </c>
      <c r="F31" s="31">
        <f t="shared" si="2"/>
        <v>-0.35078117364533679</v>
      </c>
    </row>
    <row r="32" spans="1:6" ht="15.75" thickTop="1"/>
  </sheetData>
  <mergeCells count="1">
    <mergeCell ref="A1:C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reevsbs2">
                <anchor moveWithCells="1" sizeWithCells="1">
                  <from>
                    <xdr:col>1</xdr:col>
                    <xdr:colOff>333375</xdr:colOff>
                    <xdr:row>3</xdr:row>
                    <xdr:rowOff>285750</xdr:rowOff>
                  </from>
                  <to>
                    <xdr:col>3</xdr:col>
                    <xdr:colOff>409575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A7473-7DD6-4AAA-A107-0C066930FC3D}">
  <sheetPr codeName="Feuil2">
    <tabColor rgb="FFFFCCFF"/>
  </sheetPr>
  <dimension ref="A1:J13"/>
  <sheetViews>
    <sheetView zoomScale="85" zoomScaleNormal="85" workbookViewId="0">
      <selection activeCell="M9" sqref="M9"/>
    </sheetView>
  </sheetViews>
  <sheetFormatPr defaultColWidth="11.42578125" defaultRowHeight="15"/>
  <sheetData>
    <row r="1" spans="1:10" ht="14.45" customHeight="1">
      <c r="A1" s="148" t="s">
        <v>39</v>
      </c>
      <c r="B1" s="148"/>
      <c r="C1" s="148"/>
      <c r="D1" s="148"/>
      <c r="E1" s="148"/>
      <c r="F1" s="148"/>
    </row>
    <row r="2" spans="1:10" ht="14.45" customHeight="1">
      <c r="A2" s="148"/>
      <c r="B2" s="148"/>
      <c r="C2" s="148"/>
      <c r="D2" s="148"/>
      <c r="E2" s="148"/>
      <c r="F2" s="148"/>
    </row>
    <row r="3" spans="1:10" ht="14.45" customHeight="1">
      <c r="A3" s="148"/>
      <c r="B3" s="148"/>
      <c r="C3" s="148"/>
      <c r="D3" s="148"/>
      <c r="E3" s="148"/>
      <c r="F3" s="148"/>
    </row>
    <row r="4" spans="1:10" ht="14.45" customHeight="1" thickBot="1"/>
    <row r="5" spans="1:10" ht="15.75" thickBot="1">
      <c r="C5" s="149" t="s">
        <v>40</v>
      </c>
      <c r="D5" s="150"/>
      <c r="E5" s="150"/>
      <c r="F5" s="150"/>
      <c r="G5" s="150"/>
      <c r="H5" s="150"/>
      <c r="I5" s="150"/>
      <c r="J5" s="151"/>
    </row>
    <row r="6" spans="1:10" ht="15.75" thickBot="1">
      <c r="C6" s="140" t="s">
        <v>41</v>
      </c>
      <c r="D6" s="141"/>
      <c r="E6" s="142" t="s">
        <v>42</v>
      </c>
      <c r="F6" s="143"/>
      <c r="G6" s="144" t="s">
        <v>43</v>
      </c>
      <c r="H6" s="145"/>
      <c r="I6" s="146" t="s">
        <v>44</v>
      </c>
      <c r="J6" s="147"/>
    </row>
    <row r="7" spans="1:10" ht="15.75" thickBot="1">
      <c r="C7" s="43" t="s">
        <v>45</v>
      </c>
      <c r="D7" s="44" t="s">
        <v>46</v>
      </c>
      <c r="E7" s="45" t="s">
        <v>47</v>
      </c>
      <c r="F7" s="45" t="s">
        <v>46</v>
      </c>
      <c r="G7" s="46" t="s">
        <v>47</v>
      </c>
      <c r="H7" s="46" t="s">
        <v>46</v>
      </c>
      <c r="I7" s="47" t="s">
        <v>47</v>
      </c>
      <c r="J7" s="48" t="s">
        <v>46</v>
      </c>
    </row>
    <row r="8" spans="1:10" ht="50.1" customHeight="1">
      <c r="B8" s="37">
        <v>90</v>
      </c>
      <c r="C8" s="49" t="s">
        <v>48</v>
      </c>
      <c r="D8" s="40" t="s">
        <v>49</v>
      </c>
      <c r="E8" s="41" t="s">
        <v>50</v>
      </c>
      <c r="F8" s="41" t="s">
        <v>51</v>
      </c>
      <c r="G8" s="42" t="s">
        <v>48</v>
      </c>
      <c r="H8" s="42" t="s">
        <v>49</v>
      </c>
      <c r="I8" s="58" t="s">
        <v>52</v>
      </c>
      <c r="J8" s="59" t="s">
        <v>53</v>
      </c>
    </row>
    <row r="9" spans="1:10" ht="50.1" customHeight="1">
      <c r="B9" s="38">
        <v>100</v>
      </c>
      <c r="C9" s="49" t="s">
        <v>54</v>
      </c>
      <c r="D9" s="40" t="s">
        <v>55</v>
      </c>
      <c r="E9" s="41" t="s">
        <v>56</v>
      </c>
      <c r="F9" s="41" t="s">
        <v>57</v>
      </c>
      <c r="G9" s="42" t="s">
        <v>54</v>
      </c>
      <c r="H9" s="42" t="s">
        <v>55</v>
      </c>
      <c r="I9" s="58" t="s">
        <v>58</v>
      </c>
      <c r="J9" s="59" t="s">
        <v>59</v>
      </c>
    </row>
    <row r="10" spans="1:10" ht="50.1" customHeight="1" thickBot="1">
      <c r="B10" s="39">
        <v>110</v>
      </c>
      <c r="C10" s="50" t="s">
        <v>60</v>
      </c>
      <c r="D10" s="51" t="s">
        <v>61</v>
      </c>
      <c r="E10" s="52" t="s">
        <v>62</v>
      </c>
      <c r="F10" s="52" t="s">
        <v>63</v>
      </c>
      <c r="G10" s="53" t="s">
        <v>60</v>
      </c>
      <c r="H10" s="53" t="s">
        <v>61</v>
      </c>
      <c r="I10" s="60" t="s">
        <v>64</v>
      </c>
      <c r="J10" s="61" t="s">
        <v>65</v>
      </c>
    </row>
    <row r="13" spans="1:10">
      <c r="B13" s="57"/>
    </row>
  </sheetData>
  <mergeCells count="6">
    <mergeCell ref="C6:D6"/>
    <mergeCell ref="E6:F6"/>
    <mergeCell ref="G6:H6"/>
    <mergeCell ref="I6:J6"/>
    <mergeCell ref="A1:F3"/>
    <mergeCell ref="C5:J5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C5611-58FE-456E-9603-EC0E7D74A964}">
  <sheetPr codeName="Feuil4">
    <tabColor rgb="FFFFFF00"/>
  </sheetPr>
  <dimension ref="A1:J11"/>
  <sheetViews>
    <sheetView zoomScale="87" zoomScaleNormal="87" workbookViewId="0">
      <selection sqref="A1:F3"/>
    </sheetView>
  </sheetViews>
  <sheetFormatPr defaultColWidth="11.42578125" defaultRowHeight="15"/>
  <cols>
    <col min="4" max="4" width="10.7109375" customWidth="1"/>
  </cols>
  <sheetData>
    <row r="1" spans="1:10">
      <c r="A1" s="152" t="s">
        <v>66</v>
      </c>
      <c r="B1" s="152"/>
      <c r="C1" s="152"/>
      <c r="D1" s="152"/>
      <c r="E1" s="152"/>
      <c r="F1" s="152"/>
    </row>
    <row r="2" spans="1:10">
      <c r="A2" s="152"/>
      <c r="B2" s="152"/>
      <c r="C2" s="152"/>
      <c r="D2" s="152"/>
      <c r="E2" s="152"/>
      <c r="F2" s="152"/>
    </row>
    <row r="3" spans="1:10">
      <c r="A3" s="152"/>
      <c r="B3" s="152"/>
      <c r="C3" s="152"/>
      <c r="D3" s="152"/>
      <c r="E3" s="152"/>
      <c r="F3" s="152"/>
    </row>
    <row r="4" spans="1:10" ht="15.75" thickBot="1"/>
    <row r="5" spans="1:10" ht="15.75" thickBot="1">
      <c r="C5" s="149" t="s">
        <v>40</v>
      </c>
      <c r="D5" s="150"/>
      <c r="E5" s="150"/>
      <c r="F5" s="150"/>
      <c r="G5" s="150"/>
      <c r="H5" s="150"/>
      <c r="I5" s="150"/>
      <c r="J5" s="151"/>
    </row>
    <row r="6" spans="1:10" ht="15.75" thickBot="1">
      <c r="C6" s="154" t="s">
        <v>67</v>
      </c>
      <c r="D6" s="155"/>
      <c r="E6" s="155"/>
      <c r="F6" s="155"/>
      <c r="G6" s="156" t="s">
        <v>68</v>
      </c>
      <c r="H6" s="157"/>
      <c r="I6" s="157"/>
      <c r="J6" s="158"/>
    </row>
    <row r="7" spans="1:10" ht="15.75" thickBot="1">
      <c r="C7" s="153" t="s">
        <v>69</v>
      </c>
      <c r="D7" s="141"/>
      <c r="E7" s="142" t="s">
        <v>70</v>
      </c>
      <c r="F7" s="143"/>
      <c r="G7" s="153" t="s">
        <v>69</v>
      </c>
      <c r="H7" s="141"/>
      <c r="I7" s="142" t="s">
        <v>70</v>
      </c>
      <c r="J7" s="143"/>
    </row>
    <row r="8" spans="1:10" ht="15.75" thickBot="1">
      <c r="C8" s="43" t="s">
        <v>71</v>
      </c>
      <c r="D8" s="44" t="s">
        <v>72</v>
      </c>
      <c r="E8" s="45" t="s">
        <v>71</v>
      </c>
      <c r="F8" s="45" t="s">
        <v>72</v>
      </c>
      <c r="G8" s="43" t="s">
        <v>71</v>
      </c>
      <c r="H8" s="44" t="s">
        <v>72</v>
      </c>
      <c r="I8" s="45" t="s">
        <v>71</v>
      </c>
      <c r="J8" s="56" t="s">
        <v>72</v>
      </c>
    </row>
    <row r="9" spans="1:10" ht="50.1" customHeight="1">
      <c r="B9" s="37">
        <v>90</v>
      </c>
      <c r="C9" s="62" t="s">
        <v>73</v>
      </c>
      <c r="D9" s="62" t="s">
        <v>74</v>
      </c>
      <c r="E9" s="64" t="s">
        <v>75</v>
      </c>
      <c r="F9" s="95" t="s">
        <v>76</v>
      </c>
      <c r="G9" s="66" t="s">
        <v>77</v>
      </c>
      <c r="H9" s="62" t="s">
        <v>78</v>
      </c>
      <c r="I9" s="64" t="s">
        <v>79</v>
      </c>
      <c r="J9" s="97" t="s">
        <v>80</v>
      </c>
    </row>
    <row r="10" spans="1:10" ht="50.1" customHeight="1">
      <c r="B10" s="38">
        <v>100</v>
      </c>
      <c r="C10" s="62" t="s">
        <v>81</v>
      </c>
      <c r="D10" s="62" t="s">
        <v>82</v>
      </c>
      <c r="E10" s="64" t="s">
        <v>83</v>
      </c>
      <c r="F10" s="95" t="s">
        <v>84</v>
      </c>
      <c r="G10" s="66" t="s">
        <v>85</v>
      </c>
      <c r="H10" s="62" t="s">
        <v>86</v>
      </c>
      <c r="I10" s="64" t="s">
        <v>87</v>
      </c>
      <c r="J10" s="97" t="s">
        <v>88</v>
      </c>
    </row>
    <row r="11" spans="1:10" ht="50.1" customHeight="1" thickBot="1">
      <c r="B11" s="39">
        <v>110</v>
      </c>
      <c r="C11" s="63" t="s">
        <v>89</v>
      </c>
      <c r="D11" s="63" t="s">
        <v>90</v>
      </c>
      <c r="E11" s="65" t="s">
        <v>91</v>
      </c>
      <c r="F11" s="96" t="s">
        <v>92</v>
      </c>
      <c r="G11" s="67" t="s">
        <v>93</v>
      </c>
      <c r="H11" s="63" t="s">
        <v>94</v>
      </c>
      <c r="I11" s="65" t="s">
        <v>95</v>
      </c>
      <c r="J11" s="98" t="s">
        <v>96</v>
      </c>
    </row>
  </sheetData>
  <mergeCells count="8">
    <mergeCell ref="C5:J5"/>
    <mergeCell ref="A1:F3"/>
    <mergeCell ref="C7:D7"/>
    <mergeCell ref="E7:F7"/>
    <mergeCell ref="C6:F6"/>
    <mergeCell ref="G7:H7"/>
    <mergeCell ref="I7:J7"/>
    <mergeCell ref="G6:J6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2F324-17FB-4E53-80B5-2121ECF021C0}">
  <sheetPr codeName="Feuil10">
    <tabColor rgb="FF7030A0"/>
  </sheetPr>
  <dimension ref="A1:J14"/>
  <sheetViews>
    <sheetView workbookViewId="0">
      <selection sqref="A1:F3"/>
    </sheetView>
  </sheetViews>
  <sheetFormatPr defaultColWidth="11.42578125" defaultRowHeight="15"/>
  <cols>
    <col min="1" max="1" width="16.42578125" bestFit="1" customWidth="1"/>
  </cols>
  <sheetData>
    <row r="1" spans="1:10">
      <c r="A1" s="159" t="s">
        <v>97</v>
      </c>
      <c r="B1" s="159"/>
      <c r="C1" s="159"/>
      <c r="D1" s="159"/>
      <c r="E1" s="159"/>
      <c r="F1" s="159"/>
    </row>
    <row r="2" spans="1:10">
      <c r="A2" s="159"/>
      <c r="B2" s="159"/>
      <c r="C2" s="159"/>
      <c r="D2" s="159"/>
      <c r="E2" s="159"/>
      <c r="F2" s="159"/>
    </row>
    <row r="3" spans="1:10">
      <c r="A3" s="159"/>
      <c r="B3" s="159"/>
      <c r="C3" s="159"/>
      <c r="D3" s="159"/>
      <c r="E3" s="159"/>
      <c r="F3" s="159"/>
    </row>
    <row r="4" spans="1:10" ht="15.75" thickBot="1"/>
    <row r="5" spans="1:10" ht="21.75" thickBot="1">
      <c r="A5" s="99" t="s">
        <v>98</v>
      </c>
      <c r="C5" s="149" t="s">
        <v>99</v>
      </c>
      <c r="D5" s="150"/>
      <c r="E5" s="150"/>
      <c r="F5" s="150"/>
      <c r="G5" s="150"/>
      <c r="H5" s="150"/>
      <c r="I5" s="150"/>
      <c r="J5" s="151"/>
    </row>
    <row r="6" spans="1:10" ht="15.75" thickBot="1">
      <c r="C6" s="154" t="s">
        <v>67</v>
      </c>
      <c r="D6" s="155"/>
      <c r="E6" s="155"/>
      <c r="F6" s="155"/>
      <c r="G6" s="156" t="s">
        <v>68</v>
      </c>
      <c r="H6" s="157"/>
      <c r="I6" s="157"/>
      <c r="J6" s="158"/>
    </row>
    <row r="7" spans="1:10" ht="15.75" customHeight="1" thickBot="1">
      <c r="C7" s="153" t="s">
        <v>100</v>
      </c>
      <c r="D7" s="141"/>
      <c r="E7" s="142" t="s">
        <v>101</v>
      </c>
      <c r="F7" s="143"/>
      <c r="G7" s="153" t="s">
        <v>100</v>
      </c>
      <c r="H7" s="141"/>
      <c r="I7" s="142" t="s">
        <v>101</v>
      </c>
      <c r="J7" s="143"/>
    </row>
    <row r="8" spans="1:10">
      <c r="C8" s="43" t="s">
        <v>71</v>
      </c>
      <c r="D8" s="44" t="s">
        <v>72</v>
      </c>
      <c r="E8" s="45" t="s">
        <v>71</v>
      </c>
      <c r="F8" s="45" t="s">
        <v>72</v>
      </c>
      <c r="G8" s="43" t="s">
        <v>71</v>
      </c>
      <c r="H8" s="44" t="s">
        <v>72</v>
      </c>
      <c r="I8" s="45" t="s">
        <v>71</v>
      </c>
      <c r="J8" s="56" t="s">
        <v>72</v>
      </c>
    </row>
    <row r="9" spans="1:10" ht="15.75" thickBot="1">
      <c r="A9" s="80" t="s">
        <v>102</v>
      </c>
      <c r="B9" s="38">
        <v>100</v>
      </c>
      <c r="C9" s="76">
        <v>8.93409580365247</v>
      </c>
      <c r="D9" s="76">
        <v>6.9539631343281298</v>
      </c>
      <c r="E9" s="77">
        <v>6.1366646409987604</v>
      </c>
      <c r="F9" s="77">
        <v>5.1389355877743403</v>
      </c>
      <c r="G9" s="78">
        <v>8.93409580365247</v>
      </c>
      <c r="H9" s="76">
        <v>7.1206098947898804</v>
      </c>
      <c r="I9" s="77">
        <v>6.1366646409987604</v>
      </c>
      <c r="J9" s="79">
        <v>5.2130659847078302</v>
      </c>
    </row>
    <row r="10" spans="1:10" ht="15.75" thickBot="1">
      <c r="C10" s="149" t="s">
        <v>103</v>
      </c>
      <c r="D10" s="150"/>
      <c r="E10" s="150"/>
      <c r="F10" s="150"/>
      <c r="G10" s="150"/>
      <c r="H10" s="150"/>
      <c r="I10" s="150"/>
      <c r="J10" s="151"/>
    </row>
    <row r="11" spans="1:10" ht="15.75" thickBot="1">
      <c r="C11" s="154" t="s">
        <v>67</v>
      </c>
      <c r="D11" s="155"/>
      <c r="E11" s="155"/>
      <c r="F11" s="155"/>
      <c r="G11" s="156" t="s">
        <v>68</v>
      </c>
      <c r="H11" s="157"/>
      <c r="I11" s="157"/>
      <c r="J11" s="158"/>
    </row>
    <row r="12" spans="1:10" ht="15.75" thickBot="1">
      <c r="C12" s="153" t="s">
        <v>100</v>
      </c>
      <c r="D12" s="141"/>
      <c r="E12" s="142" t="s">
        <v>101</v>
      </c>
      <c r="F12" s="143"/>
      <c r="G12" s="153" t="s">
        <v>100</v>
      </c>
      <c r="H12" s="141"/>
      <c r="I12" s="142" t="s">
        <v>101</v>
      </c>
      <c r="J12" s="143"/>
    </row>
    <row r="13" spans="1:10">
      <c r="C13" s="43" t="s">
        <v>71</v>
      </c>
      <c r="D13" s="44" t="s">
        <v>72</v>
      </c>
      <c r="E13" s="45" t="s">
        <v>71</v>
      </c>
      <c r="F13" s="45" t="s">
        <v>72</v>
      </c>
      <c r="G13" s="43" t="s">
        <v>71</v>
      </c>
      <c r="H13" s="44" t="s">
        <v>72</v>
      </c>
      <c r="I13" s="45" t="s">
        <v>71</v>
      </c>
      <c r="J13" s="56" t="s">
        <v>72</v>
      </c>
    </row>
    <row r="14" spans="1:10">
      <c r="A14" s="80" t="s">
        <v>102</v>
      </c>
      <c r="B14" s="38">
        <v>100</v>
      </c>
      <c r="C14" s="76">
        <v>1.6304264145509899</v>
      </c>
      <c r="D14" s="76">
        <v>24.233802071127201</v>
      </c>
      <c r="E14" s="77">
        <v>0.33360534200090702</v>
      </c>
      <c r="F14" s="77">
        <v>24.165990388131199</v>
      </c>
      <c r="G14" s="78">
        <v>8.0146188855081792</v>
      </c>
      <c r="H14" s="76">
        <v>24.4715872794233</v>
      </c>
      <c r="I14" s="77">
        <v>4.9077728194400203</v>
      </c>
      <c r="J14" s="79">
        <v>24.438857534043802</v>
      </c>
    </row>
  </sheetData>
  <mergeCells count="15">
    <mergeCell ref="A1:F3"/>
    <mergeCell ref="C5:J5"/>
    <mergeCell ref="C6:F6"/>
    <mergeCell ref="G6:J6"/>
    <mergeCell ref="C7:D7"/>
    <mergeCell ref="E7:F7"/>
    <mergeCell ref="G7:H7"/>
    <mergeCell ref="I7:J7"/>
    <mergeCell ref="C10:J10"/>
    <mergeCell ref="C11:F11"/>
    <mergeCell ref="G11:J11"/>
    <mergeCell ref="C12:D12"/>
    <mergeCell ref="E12:F12"/>
    <mergeCell ref="G12:H12"/>
    <mergeCell ref="I12:J1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3105F-6B08-4704-BB45-118F1F47198E}">
  <sheetPr codeName="Feuil7">
    <tabColor rgb="FF00B050"/>
  </sheetPr>
  <dimension ref="A1:J18"/>
  <sheetViews>
    <sheetView workbookViewId="0">
      <selection activeCell="I17" sqref="I17"/>
    </sheetView>
  </sheetViews>
  <sheetFormatPr defaultColWidth="11.42578125" defaultRowHeight="15"/>
  <cols>
    <col min="1" max="1" width="16.42578125" bestFit="1" customWidth="1"/>
  </cols>
  <sheetData>
    <row r="1" spans="1:10">
      <c r="A1" s="168" t="s">
        <v>104</v>
      </c>
      <c r="B1" s="168"/>
      <c r="C1" s="168"/>
      <c r="D1" s="168"/>
      <c r="E1" s="168"/>
      <c r="F1" s="168"/>
    </row>
    <row r="2" spans="1:10">
      <c r="A2" s="168"/>
      <c r="B2" s="168"/>
      <c r="C2" s="168"/>
      <c r="D2" s="168"/>
      <c r="E2" s="168"/>
      <c r="F2" s="168"/>
    </row>
    <row r="3" spans="1:10">
      <c r="A3" s="168"/>
      <c r="B3" s="168"/>
      <c r="C3" s="168"/>
      <c r="D3" s="168"/>
      <c r="E3" s="168"/>
      <c r="F3" s="168"/>
    </row>
    <row r="4" spans="1:10" ht="15.75" thickBot="1"/>
    <row r="5" spans="1:10" ht="21.75" thickBot="1">
      <c r="A5" s="99" t="s">
        <v>98</v>
      </c>
      <c r="C5" s="149" t="s">
        <v>99</v>
      </c>
      <c r="D5" s="150"/>
      <c r="E5" s="150"/>
      <c r="F5" s="150"/>
      <c r="G5" s="150"/>
      <c r="H5" s="150"/>
      <c r="I5" s="150"/>
      <c r="J5" s="151"/>
    </row>
    <row r="6" spans="1:10" ht="15.75" thickBot="1">
      <c r="C6" s="154" t="s">
        <v>67</v>
      </c>
      <c r="D6" s="155"/>
      <c r="E6" s="155"/>
      <c r="F6" s="155"/>
      <c r="G6" s="155"/>
      <c r="H6" s="155"/>
      <c r="I6" s="155"/>
      <c r="J6" s="167"/>
    </row>
    <row r="7" spans="1:10" ht="15.75" customHeight="1" thickBot="1">
      <c r="C7" s="153" t="s">
        <v>105</v>
      </c>
      <c r="D7" s="141"/>
      <c r="E7" s="142" t="s">
        <v>106</v>
      </c>
      <c r="F7" s="143"/>
      <c r="G7" s="153" t="s">
        <v>107</v>
      </c>
      <c r="H7" s="141"/>
      <c r="I7" s="142" t="s">
        <v>108</v>
      </c>
      <c r="J7" s="143"/>
    </row>
    <row r="8" spans="1:10">
      <c r="C8" s="43" t="s">
        <v>71</v>
      </c>
      <c r="D8" s="44" t="s">
        <v>72</v>
      </c>
      <c r="E8" s="45" t="s">
        <v>71</v>
      </c>
      <c r="F8" s="45" t="s">
        <v>72</v>
      </c>
      <c r="G8" s="43" t="s">
        <v>71</v>
      </c>
      <c r="H8" s="44" t="s">
        <v>72</v>
      </c>
      <c r="I8" s="45" t="s">
        <v>71</v>
      </c>
      <c r="J8" s="56" t="s">
        <v>72</v>
      </c>
    </row>
    <row r="9" spans="1:10" ht="15.75" thickBot="1">
      <c r="A9" s="80" t="s">
        <v>102</v>
      </c>
      <c r="B9" s="38">
        <v>100</v>
      </c>
      <c r="C9" s="76">
        <v>5.0147134070033701</v>
      </c>
      <c r="D9" s="76">
        <v>3.0345807376790201</v>
      </c>
      <c r="E9" s="77">
        <v>8.93409580365247</v>
      </c>
      <c r="F9" s="77">
        <v>6.9539631343281298</v>
      </c>
      <c r="G9" s="78">
        <v>16.715304706821701</v>
      </c>
      <c r="H9" s="76">
        <v>14.735172037497399</v>
      </c>
      <c r="I9" s="77">
        <v>31.772356103245599</v>
      </c>
      <c r="J9" s="79">
        <v>29.792223433921301</v>
      </c>
    </row>
    <row r="10" spans="1:10" ht="15.75" thickBot="1">
      <c r="C10" s="149" t="s">
        <v>103</v>
      </c>
      <c r="D10" s="150"/>
      <c r="E10" s="150"/>
      <c r="F10" s="150"/>
      <c r="G10" s="150"/>
      <c r="H10" s="150"/>
      <c r="I10" s="150"/>
      <c r="J10" s="151"/>
    </row>
    <row r="11" spans="1:10" ht="15.75" thickBot="1">
      <c r="C11" s="154" t="s">
        <v>67</v>
      </c>
      <c r="D11" s="155"/>
      <c r="E11" s="155"/>
      <c r="F11" s="155"/>
      <c r="G11" s="155"/>
      <c r="H11" s="155"/>
      <c r="I11" s="155"/>
      <c r="J11" s="167"/>
    </row>
    <row r="12" spans="1:10" ht="15.75" customHeight="1" thickBot="1">
      <c r="C12" s="163" t="s">
        <v>105</v>
      </c>
      <c r="D12" s="164"/>
      <c r="E12" s="165" t="s">
        <v>106</v>
      </c>
      <c r="F12" s="166"/>
      <c r="G12" s="163" t="s">
        <v>107</v>
      </c>
      <c r="H12" s="164"/>
      <c r="I12" s="165" t="s">
        <v>108</v>
      </c>
      <c r="J12" s="166"/>
    </row>
    <row r="13" spans="1:10">
      <c r="C13" s="43" t="s">
        <v>71</v>
      </c>
      <c r="D13" s="44" t="s">
        <v>72</v>
      </c>
      <c r="E13" s="45" t="s">
        <v>71</v>
      </c>
      <c r="F13" s="45" t="s">
        <v>72</v>
      </c>
      <c r="G13" s="43" t="s">
        <v>71</v>
      </c>
      <c r="H13" s="44" t="s">
        <v>72</v>
      </c>
      <c r="I13" s="45" t="s">
        <v>71</v>
      </c>
      <c r="J13" s="56" t="s">
        <v>72</v>
      </c>
    </row>
    <row r="14" spans="1:10" ht="15.75" thickBot="1">
      <c r="A14" s="80" t="s">
        <v>102</v>
      </c>
      <c r="B14" s="38">
        <v>100</v>
      </c>
      <c r="C14" s="76">
        <v>6.9298983644499199E-2</v>
      </c>
      <c r="D14" s="76">
        <v>22.672674640220698</v>
      </c>
      <c r="E14" s="77">
        <v>1.6304264145509899</v>
      </c>
      <c r="F14" s="77">
        <v>24.233802071127201</v>
      </c>
      <c r="G14" s="78">
        <v>8.0839089775499193</v>
      </c>
      <c r="H14" s="76">
        <v>30.687284634126101</v>
      </c>
      <c r="I14" s="77">
        <v>23.3730381837461</v>
      </c>
      <c r="J14" s="79">
        <v>45.976413840322699</v>
      </c>
    </row>
    <row r="15" spans="1:10" ht="15.75" thickBot="1">
      <c r="C15" s="160" t="s">
        <v>68</v>
      </c>
      <c r="D15" s="161"/>
      <c r="E15" s="161"/>
      <c r="F15" s="161"/>
      <c r="G15" s="161"/>
      <c r="H15" s="161"/>
      <c r="I15" s="161"/>
      <c r="J15" s="162"/>
    </row>
    <row r="16" spans="1:10" ht="15.75" thickBot="1">
      <c r="C16" s="163" t="s">
        <v>105</v>
      </c>
      <c r="D16" s="164"/>
      <c r="E16" s="165" t="s">
        <v>106</v>
      </c>
      <c r="F16" s="166"/>
      <c r="G16" s="163" t="s">
        <v>107</v>
      </c>
      <c r="H16" s="164"/>
      <c r="I16" s="165" t="s">
        <v>108</v>
      </c>
      <c r="J16" s="166"/>
    </row>
    <row r="17" spans="1:10">
      <c r="C17" s="43" t="s">
        <v>71</v>
      </c>
      <c r="D17" s="44" t="s">
        <v>72</v>
      </c>
      <c r="E17" s="45" t="s">
        <v>71</v>
      </c>
      <c r="F17" s="45" t="s">
        <v>72</v>
      </c>
      <c r="G17" s="43" t="s">
        <v>71</v>
      </c>
      <c r="H17" s="44" t="s">
        <v>72</v>
      </c>
      <c r="I17" s="45" t="s">
        <v>71</v>
      </c>
      <c r="J17" s="56" t="s">
        <v>72</v>
      </c>
    </row>
    <row r="18" spans="1:10">
      <c r="A18" s="80" t="s">
        <v>102</v>
      </c>
      <c r="B18" s="38">
        <v>100</v>
      </c>
      <c r="C18" s="76">
        <v>4.4777614089937403</v>
      </c>
      <c r="D18" s="76">
        <v>22.975958527144702</v>
      </c>
      <c r="E18" s="77">
        <v>8.0629947175412706</v>
      </c>
      <c r="F18" s="77">
        <v>24.4649266135545</v>
      </c>
      <c r="G18" s="78">
        <v>15.1913958848957</v>
      </c>
      <c r="H18" s="76">
        <v>30.871337837490699</v>
      </c>
      <c r="I18" s="77">
        <v>29.258931756714698</v>
      </c>
      <c r="J18" s="79">
        <v>46.1501320405253</v>
      </c>
    </row>
  </sheetData>
  <mergeCells count="18">
    <mergeCell ref="A1:F3"/>
    <mergeCell ref="C5:J5"/>
    <mergeCell ref="C7:D7"/>
    <mergeCell ref="E7:F7"/>
    <mergeCell ref="G7:H7"/>
    <mergeCell ref="I7:J7"/>
    <mergeCell ref="C6:J6"/>
    <mergeCell ref="C10:J10"/>
    <mergeCell ref="C12:D12"/>
    <mergeCell ref="E12:F12"/>
    <mergeCell ref="G12:H12"/>
    <mergeCell ref="I12:J12"/>
    <mergeCell ref="C11:J11"/>
    <mergeCell ref="C15:J15"/>
    <mergeCell ref="C16:D16"/>
    <mergeCell ref="E16:F16"/>
    <mergeCell ref="G16:H16"/>
    <mergeCell ref="I16:J1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Océane</dc:creator>
  <cp:keywords/>
  <dc:description/>
  <cp:lastModifiedBy>Oceane RAZAFY</cp:lastModifiedBy>
  <cp:revision/>
  <dcterms:created xsi:type="dcterms:W3CDTF">2021-10-06T08:51:21Z</dcterms:created>
  <dcterms:modified xsi:type="dcterms:W3CDTF">2021-11-08T20:07:23Z</dcterms:modified>
  <cp:category/>
  <cp:contentStatus/>
</cp:coreProperties>
</file>